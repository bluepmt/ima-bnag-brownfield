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ME" state="visible" r:id="rId4"/>
    <sheet sheetId="2" name="ENG" state="visible" r:id="rId5"/>
    <sheet sheetId="3" name="FAB" state="visible" r:id="rId6"/>
    <sheet sheetId="4" name="LOG" state="visible" r:id="rId7"/>
    <sheet sheetId="5" name="SITE" state="visible" r:id="rId8"/>
    <sheet sheetId="6" name="COMM" state="visible" r:id="rId9"/>
    <sheet sheetId="7" name="HSE" state="visible" r:id="rId10"/>
    <sheet sheetId="8" name="Procurement" state="visible" r:id="rId11"/>
    <sheet sheetId="9" name="Milestones" state="visible" r:id="rId12"/>
    <sheet sheetId="10" name="KPI" state="hidden" r:id="rId13"/>
    <sheet sheetId="11" name="Phase" state="hidden" r:id="rId14"/>
    <sheet sheetId="12" name="Sections" state="hidden" r:id="rId15"/>
    <sheet sheetId="13" name="Variance" state="hidden" r:id="rId16"/>
    <sheet sheetId="14" name="Engineering" state="hidden" r:id="rId17"/>
    <sheet sheetId="15" name="SCurve" state="hidden" r:id="rId18"/>
    <sheet sheetId="16" name="WPInfo" state="hidden" r:id="rId19"/>
  </sheets>
  <calcPr calcId="171027"/>
</workbook>
</file>

<file path=xl/sharedStrings.xml><?xml version="1.0" encoding="utf-8"?>
<sst xmlns="http://schemas.openxmlformats.org/spreadsheetml/2006/main" count="735" uniqueCount="420">
  <si>
    <t>IMA BROWNFIELD — EPCI PROGRESS WORKBOOK</t>
  </si>
  <si>
    <t/>
  </si>
  <si>
    <t>Cách dùng:</t>
  </si>
  <si>
    <t>1. Mỗi discipline có 1 sheet log task: ENG, FAB, LOG, SITE, COMM. Nhập task vào, điền Weight % và % Complete.</t>
  </si>
  <si>
    <t xml:space="preserve">   Ô "Auto %" (góc trên, màu xanh) tự tính tiến độ Actual của discipline = Σ(Weight×%Complete)/ΣWeight.</t>
  </si>
  <si>
    <t>2. Procurement: list 16 package — cập nhật cột Prog (0–100) và các mốc PO / FAT / Site.</t>
  </si>
  <si>
    <t>3. HSE: log theo tuần (manhours, LTI, observations, NCR).</t>
  </si>
  <si>
    <t>4. Milestones: cập nhật Forecast + Status các Key Date.</t>
  </si>
  <si>
    <t>Cập nhật hằng tuần (giữ trend trên web):</t>
  </si>
  <si>
    <t>Cuối tuần: ở các sheet ẩn KPI/Phase/Sections, copy cột tuần hiện tại → Paste special → Values only (chốt số),</t>
  </si>
  <si>
    <t>rồi thêm cột tuần mới (vd Wk67) sao chép công thức tuần cũ. Web vẽ trend qua các tuần đã chốt.</t>
  </si>
  <si>
    <t>Sheet ẩn (KPI, Phase, Sections, Variance, Engineering, SCurve, WPInfo) = dữ liệu web đọc.</t>
  </si>
  <si>
    <t>KHÔNG sửa tay trừ các ô đếm/KPI (PO, NCR, punch, manhours…). Bỏ ẩn: chuột phải tab → Unhide.</t>
  </si>
  <si>
    <t>Đẩy lên web: Share → Anyone with the link → Viewer. Copy Spreadsheet ID (đoạn /d/&lt;ID&gt;/edit) → đặt SHEETS_ID.</t>
  </si>
  <si>
    <t>Chi tiết: docs/BACKEND_SETUP.md §F–H. Số sửa trong Sheet → web tự cập nhật ≤ 5 phút.</t>
  </si>
  <si>
    <t>Engineering  —  Auto % (Actual, current week):</t>
  </si>
  <si>
    <t>◀ tự tính từ Weight × % Complete</t>
  </si>
  <si>
    <t>WBS / ID</t>
  </si>
  <si>
    <t>Description</t>
  </si>
  <si>
    <t>Weight %</t>
  </si>
  <si>
    <t>Plan Start</t>
  </si>
  <si>
    <t>Plan Finish</t>
  </si>
  <si>
    <t>Actual Start</t>
  </si>
  <si>
    <t>Actual Finish</t>
  </si>
  <si>
    <t>% Complete</t>
  </si>
  <si>
    <t>Status</t>
  </si>
  <si>
    <t>Responsible</t>
  </si>
  <si>
    <t>Remarks</t>
  </si>
  <si>
    <t>Group</t>
  </si>
  <si>
    <t>ENG-001</t>
  </si>
  <si>
    <t>IFC drawings — Process &amp; Mechanical</t>
  </si>
  <si>
    <t>01-Jul-2026</t>
  </si>
  <si>
    <t>30-Jun-2028</t>
  </si>
  <si>
    <t>Complete</t>
  </si>
  <si>
    <t>PTSC</t>
  </si>
  <si>
    <t>Process</t>
  </si>
  <si>
    <t>ENG-002</t>
  </si>
  <si>
    <t>IFC drawings — Piping &amp; Layout</t>
  </si>
  <si>
    <t>Piping &amp; Layout</t>
  </si>
  <si>
    <t>ENG-003</t>
  </si>
  <si>
    <t>IFC drawings — Electrical &amp; Instrument</t>
  </si>
  <si>
    <t>Electrical/Instrument</t>
  </si>
  <si>
    <t>ENG-004</t>
  </si>
  <si>
    <t>As-built &amp; engineering close-out</t>
  </si>
  <si>
    <t>Comm. Eng.</t>
  </si>
  <si>
    <t>Fabrication  —  Auto % (Actual, current week):</t>
  </si>
  <si>
    <t>Welds</t>
  </si>
  <si>
    <t>NDT %</t>
  </si>
  <si>
    <t>Tonnage (T)</t>
  </si>
  <si>
    <t>FAB-001</t>
  </si>
  <si>
    <t>Structural fabrication</t>
  </si>
  <si>
    <t>FAB-002</t>
  </si>
  <si>
    <t>Piping spool fabrication</t>
  </si>
  <si>
    <t>In Progress</t>
  </si>
  <si>
    <t>FAB-003</t>
  </si>
  <si>
    <t>Equipment skid assembly</t>
  </si>
  <si>
    <t>FAB-004</t>
  </si>
  <si>
    <t>Surface treatment &amp; painting</t>
  </si>
  <si>
    <t>Logistics &amp; Transport  —  Auto % (Actual, current week):</t>
  </si>
  <si>
    <t>MWS</t>
  </si>
  <si>
    <t>Weight (T)</t>
  </si>
  <si>
    <t>LOG-001</t>
  </si>
  <si>
    <t>Sea-fastening &amp; grillage design</t>
  </si>
  <si>
    <t>4 / 4</t>
  </si>
  <si>
    <t>LOG-002</t>
  </si>
  <si>
    <t>Load-out engineering</t>
  </si>
  <si>
    <t>LOG-003</t>
  </si>
  <si>
    <t>Transport / MWS mobilization</t>
  </si>
  <si>
    <t>LOG-004</t>
  </si>
  <si>
    <t>Offshore installation</t>
  </si>
  <si>
    <t>Site Construction  —  Auto % (Actual, current week):</t>
  </si>
  <si>
    <t>Tie-in Done</t>
  </si>
  <si>
    <t>Tie-in Total</t>
  </si>
  <si>
    <t>PTW</t>
  </si>
  <si>
    <t>SITE-001</t>
  </si>
  <si>
    <t>Civil works &amp; foundations</t>
  </si>
  <si>
    <t>SITE-002</t>
  </si>
  <si>
    <t>Structural steel erection</t>
  </si>
  <si>
    <t>SITE-003</t>
  </si>
  <si>
    <t>Mechanical / piping installation</t>
  </si>
  <si>
    <t>SITE-004</t>
  </si>
  <si>
    <t>E&amp;I installation &amp; tie-ins</t>
  </si>
  <si>
    <t>Commissioning  —  Auto % (Actual, current week):</t>
  </si>
  <si>
    <t>System</t>
  </si>
  <si>
    <t>Punch</t>
  </si>
  <si>
    <t>COMM-001</t>
  </si>
  <si>
    <t>Pre-commissioning preparation</t>
  </si>
  <si>
    <t>COMM-002</t>
  </si>
  <si>
    <t>System walkdowns</t>
  </si>
  <si>
    <t>Utilities</t>
  </si>
  <si>
    <t>COMM-003</t>
  </si>
  <si>
    <t>Loop checks &amp; function tests</t>
  </si>
  <si>
    <t>Not Started</t>
  </si>
  <si>
    <t>Safety</t>
  </si>
  <si>
    <t>COMM-004</t>
  </si>
  <si>
    <t>Start-up &amp; performance test</t>
  </si>
  <si>
    <t>Week</t>
  </si>
  <si>
    <t>Safe Manhours</t>
  </si>
  <si>
    <t>LTI</t>
  </si>
  <si>
    <t>Observations</t>
  </si>
  <si>
    <t>NCR</t>
  </si>
  <si>
    <t>Comment</t>
  </si>
  <si>
    <t>64</t>
  </si>
  <si>
    <t>1,210K</t>
  </si>
  <si>
    <t>65</t>
  </si>
  <si>
    <t>1,250K</t>
  </si>
  <si>
    <t>66</t>
  </si>
  <si>
    <t>1,310K</t>
  </si>
  <si>
    <t>Name</t>
  </si>
  <si>
    <t>PO</t>
  </si>
  <si>
    <t>FAT</t>
  </si>
  <si>
    <t>Site</t>
  </si>
  <si>
    <t>Prog</t>
  </si>
  <si>
    <t>Pig Receiver (AA-8133)</t>
  </si>
  <si>
    <t>30-Sep-2026</t>
  </si>
  <si>
    <t>01-Sep-2027</t>
  </si>
  <si>
    <t>30-Nov-2027</t>
  </si>
  <si>
    <t>Slug Catcher (V-8133)</t>
  </si>
  <si>
    <t>31-Aug-2026</t>
  </si>
  <si>
    <t>TEG Package (C-8160 / A-8160)</t>
  </si>
  <si>
    <t>31-Oct-2027</t>
  </si>
  <si>
    <t>29-Jan-2028</t>
  </si>
  <si>
    <t>Mercury Removal Unit (A-8170)</t>
  </si>
  <si>
    <t>01-Sep-2026</t>
  </si>
  <si>
    <t>01-Nov-2027</t>
  </si>
  <si>
    <t>30-Jan-2028</t>
  </si>
  <si>
    <t>ICSS Cabinets</t>
  </si>
  <si>
    <t>02-Aug-2027</t>
  </si>
  <si>
    <t>16-Sep-2027</t>
  </si>
  <si>
    <t>Gas Fiscal Metering (M-8101)</t>
  </si>
  <si>
    <t>HIPPS Package</t>
  </si>
  <si>
    <t>HV Switchboard</t>
  </si>
  <si>
    <t>13-Jun-2027</t>
  </si>
  <si>
    <t>28-Jul-2027</t>
  </si>
  <si>
    <t>Electrical Room</t>
  </si>
  <si>
    <t>30-Oct-2027</t>
  </si>
  <si>
    <t>28-Jan-2028</t>
  </si>
  <si>
    <t>Instrument Room</t>
  </si>
  <si>
    <t>HP Separator (V-8151)</t>
  </si>
  <si>
    <t>30-Nov-2026</t>
  </si>
  <si>
    <t>26-Sep-2027</t>
  </si>
  <si>
    <t>25-Dec-2027</t>
  </si>
  <si>
    <t>Condensate Pump A/B (P-8151)</t>
  </si>
  <si>
    <t>31-Dec-2026</t>
  </si>
  <si>
    <t>29-Jul-2027</t>
  </si>
  <si>
    <t>27-Oct-2027</t>
  </si>
  <si>
    <t>Water Pump A/B (P-8152)</t>
  </si>
  <si>
    <t>Condensate Metering (M-8102)</t>
  </si>
  <si>
    <t>01-Oct-2027</t>
  </si>
  <si>
    <t>30-Dec-2027</t>
  </si>
  <si>
    <t>Water Metering Skid (M-8103)</t>
  </si>
  <si>
    <t>Flow Control Station (FCV-332)</t>
  </si>
  <si>
    <t>22-Oct-2027</t>
  </si>
  <si>
    <t>Baseline</t>
  </si>
  <si>
    <t>Forecast</t>
  </si>
  <si>
    <t>KD 01 - Effective Date (ED)</t>
  </si>
  <si>
    <t>completed</t>
  </si>
  <si>
    <t>KD 02 - KOM &amp; Key Personnel Mobilized</t>
  </si>
  <si>
    <t>08-Jul-2026</t>
  </si>
  <si>
    <t>KD 07 - Detailed Work Plan Approved</t>
  </si>
  <si>
    <t>30-Jul-2026</t>
  </si>
  <si>
    <t>KD 10-13 - PO for Major Packages Placed</t>
  </si>
  <si>
    <t>KD 16 - Detailed Engineering 50% IFC</t>
  </si>
  <si>
    <t>15-Dec-2026</t>
  </si>
  <si>
    <t>KD 17 - TCC Earthworks &amp; Foundations</t>
  </si>
  <si>
    <t>13-Feb-2027</t>
  </si>
  <si>
    <t>KD 18 - Detailed Engineering 100% IFC</t>
  </si>
  <si>
    <t>01-Jun-2027</t>
  </si>
  <si>
    <t>KD 20 - TCC Readiness Certificate</t>
  </si>
  <si>
    <t>30-Jun-2027</t>
  </si>
  <si>
    <t>KD 21 - Slug Catcher Delivered to SITE</t>
  </si>
  <si>
    <t>01-Dec-2027</t>
  </si>
  <si>
    <t>not-started</t>
  </si>
  <si>
    <t>KD 22 - TEG Unit Delivered to SITE</t>
  </si>
  <si>
    <t>KD 23 - Metering Unit Delivered to SITE</t>
  </si>
  <si>
    <t>KD 24 - Functional Ready for Commissioning</t>
  </si>
  <si>
    <t>05-May-2028</t>
  </si>
  <si>
    <t>KD 27 - Provisional Acceptance Certificate</t>
  </si>
  <si>
    <t>03-Jan-2029</t>
  </si>
  <si>
    <t>Metric</t>
  </si>
  <si>
    <t>Wk64</t>
  </si>
  <si>
    <t>Wk65</t>
  </si>
  <si>
    <t>Wk66</t>
  </si>
  <si>
    <t>status</t>
  </si>
  <si>
    <t>on-track</t>
  </si>
  <si>
    <t>statusText</t>
  </si>
  <si>
    <t>Overall: On Track</t>
  </si>
  <si>
    <t>statusDotColor</t>
  </si>
  <si>
    <t>#2e7d32</t>
  </si>
  <si>
    <t>sum_kpi_overall</t>
  </si>
  <si>
    <t>56.9%</t>
  </si>
  <si>
    <t>59.3%</t>
  </si>
  <si>
    <t>61.5%</t>
  </si>
  <si>
    <t>sum_kpi_overall_vs</t>
  </si>
  <si>
    <t>Vs. Planned 55.4% (+1.5% Ahead)</t>
  </si>
  <si>
    <t>Vs. Planned 57.5% (+1.8% Ahead)</t>
  </si>
  <si>
    <t>Vs. Planned 59.6% (+1.9% Ahead)</t>
  </si>
  <si>
    <t>sum_kpi_spi</t>
  </si>
  <si>
    <t>1.04</t>
  </si>
  <si>
    <t>1.05</t>
  </si>
  <si>
    <t>1.06</t>
  </si>
  <si>
    <t>sum_kpi_hse</t>
  </si>
  <si>
    <t>sum_kpi_risks</t>
  </si>
  <si>
    <t>1</t>
  </si>
  <si>
    <t>0</t>
  </si>
  <si>
    <t>sum_kpi_action</t>
  </si>
  <si>
    <t>2</t>
  </si>
  <si>
    <t>sum_kpi_int</t>
  </si>
  <si>
    <t>9</t>
  </si>
  <si>
    <t>8</t>
  </si>
  <si>
    <t>6</t>
  </si>
  <si>
    <t>sum_kpi_ncr</t>
  </si>
  <si>
    <t>3</t>
  </si>
  <si>
    <t>sum_kpi_punch</t>
  </si>
  <si>
    <t>48</t>
  </si>
  <si>
    <t>45</t>
  </si>
  <si>
    <t>38</t>
  </si>
  <si>
    <t>Workfront</t>
  </si>
  <si>
    <t>P64</t>
  </si>
  <si>
    <t>A64</t>
  </si>
  <si>
    <t>P65</t>
  </si>
  <si>
    <t>A65</t>
  </si>
  <si>
    <t>P66</t>
  </si>
  <si>
    <t>A66</t>
  </si>
  <si>
    <t>Detailed Engineering</t>
  </si>
  <si>
    <t>Procurement</t>
  </si>
  <si>
    <t>Fabrication Yards</t>
  </si>
  <si>
    <t>Transportation &amp; Load-out</t>
  </si>
  <si>
    <t>Site Construction</t>
  </si>
  <si>
    <t>System Commissioning</t>
  </si>
  <si>
    <t>Key</t>
  </si>
  <si>
    <t>engineering.prog</t>
  </si>
  <si>
    <t>100%</t>
  </si>
  <si>
    <t>engineering.prog_vs</t>
  </si>
  <si>
    <t>Planned: 100% (KD18 met 01-Jun-27)</t>
  </si>
  <si>
    <t>engineering.docs</t>
  </si>
  <si>
    <t>2,560</t>
  </si>
  <si>
    <t>engineering.docs_vs</t>
  </si>
  <si>
    <t>2,560 of 2,560 (Code 1 &amp; 2)</t>
  </si>
  <si>
    <t>engineering.hazop</t>
  </si>
  <si>
    <t>engineering.hazop_vs</t>
  </si>
  <si>
    <t>All actions closed at AFC</t>
  </si>
  <si>
    <t>engineering.tq</t>
  </si>
  <si>
    <t>procurement.prog</t>
  </si>
  <si>
    <t>85.5%</t>
  </si>
  <si>
    <t>88.5%</t>
  </si>
  <si>
    <t>91.0%</t>
  </si>
  <si>
    <t>procurement.prog_vs</t>
  </si>
  <si>
    <t>Planned: 83.5% (+2.0% Ahead)</t>
  </si>
  <si>
    <t>Planned: 86.0% (+2.5% Ahead)</t>
  </si>
  <si>
    <t>Planned: 88.5% (+2.5% Ahead)</t>
  </si>
  <si>
    <t>procurement.po</t>
  </si>
  <si>
    <t>16 / 16</t>
  </si>
  <si>
    <t>procurement.delay</t>
  </si>
  <si>
    <t>5 / 16</t>
  </si>
  <si>
    <t>6 / 16</t>
  </si>
  <si>
    <t>8 / 16</t>
  </si>
  <si>
    <t>procurement.overdue</t>
  </si>
  <si>
    <t>fabrication.prog</t>
  </si>
  <si>
    <t>87.0%</t>
  </si>
  <si>
    <t>90.0%</t>
  </si>
  <si>
    <t>fabrication.prog_vs</t>
  </si>
  <si>
    <t>Planned: 85.0% (+2.0% Ahead)</t>
  </si>
  <si>
    <t>Planned: 88.0% (+2.0% Ahead)</t>
  </si>
  <si>
    <t>Planned: 91.0% (+2.0% Ahead)</t>
  </si>
  <si>
    <t>fabrication.welds</t>
  </si>
  <si>
    <t>32,600</t>
  </si>
  <si>
    <t>34,200</t>
  </si>
  <si>
    <t>35,300</t>
  </si>
  <si>
    <t>fabrication.ndt</t>
  </si>
  <si>
    <t>99.0%</t>
  </si>
  <si>
    <t>99.2%</t>
  </si>
  <si>
    <t>99.3%</t>
  </si>
  <si>
    <t>fabrication.ton</t>
  </si>
  <si>
    <t>388 / 450 T</t>
  </si>
  <si>
    <t>405 / 450 T</t>
  </si>
  <si>
    <t>420 / 450 T</t>
  </si>
  <si>
    <t>logistics.prog</t>
  </si>
  <si>
    <t>42.0%</t>
  </si>
  <si>
    <t>45.0%</t>
  </si>
  <si>
    <t>logistics.mws</t>
  </si>
  <si>
    <t>3 / 4</t>
  </si>
  <si>
    <t>logistics.weight</t>
  </si>
  <si>
    <t>1,562 T</t>
  </si>
  <si>
    <t>logistics.damage</t>
  </si>
  <si>
    <t>site.prog</t>
  </si>
  <si>
    <t>25.0%</t>
  </si>
  <si>
    <t>27.8%</t>
  </si>
  <si>
    <t>site.prog_vs</t>
  </si>
  <si>
    <t>Planned: 23.0% (+2.0% Ahead)</t>
  </si>
  <si>
    <t>Planned: 25.7% (+2.1% Ahead)</t>
  </si>
  <si>
    <t>Planned: 28.0% (+2.5% Ahead)</t>
  </si>
  <si>
    <t>site.ptw</t>
  </si>
  <si>
    <t>22</t>
  </si>
  <si>
    <t>24</t>
  </si>
  <si>
    <t>28</t>
  </si>
  <si>
    <t>site.simops</t>
  </si>
  <si>
    <t>SIMOPS Restrict</t>
  </si>
  <si>
    <t>site.tie</t>
  </si>
  <si>
    <t>10 / 45</t>
  </si>
  <si>
    <t>12 / 45</t>
  </si>
  <si>
    <t>19 / 45</t>
  </si>
  <si>
    <t>commissioning.prog</t>
  </si>
  <si>
    <t>0.0%</t>
  </si>
  <si>
    <t>1.0%</t>
  </si>
  <si>
    <t>commissioning.sys</t>
  </si>
  <si>
    <t>12</t>
  </si>
  <si>
    <t>commissioning.sheet</t>
  </si>
  <si>
    <t>0 / 480</t>
  </si>
  <si>
    <t>15 / 480</t>
  </si>
  <si>
    <t>42 / 480</t>
  </si>
  <si>
    <t>commissioning.punch</t>
  </si>
  <si>
    <t>hse.lti</t>
  </si>
  <si>
    <t>hse.obs</t>
  </si>
  <si>
    <t>780</t>
  </si>
  <si>
    <t>820</t>
  </si>
  <si>
    <t>890</t>
  </si>
  <si>
    <t>hse.weld</t>
  </si>
  <si>
    <t>1.7%</t>
  </si>
  <si>
    <t>1.4%</t>
  </si>
  <si>
    <t>1.2%</t>
  </si>
  <si>
    <t>hse.ncr</t>
  </si>
  <si>
    <t>V1</t>
  </si>
  <si>
    <t>V2</t>
  </si>
  <si>
    <t>V3</t>
  </si>
  <si>
    <t>V4</t>
  </si>
  <si>
    <t>V5</t>
  </si>
  <si>
    <t>V6</t>
  </si>
  <si>
    <t>V7</t>
  </si>
  <si>
    <t>V8</t>
  </si>
  <si>
    <t>V9</t>
  </si>
  <si>
    <t>V10</t>
  </si>
  <si>
    <t>V11</t>
  </si>
  <si>
    <t>V12</t>
  </si>
  <si>
    <t>V13</t>
  </si>
  <si>
    <t>Actual</t>
  </si>
  <si>
    <t>Target</t>
  </si>
  <si>
    <t>Mechanical</t>
  </si>
  <si>
    <t>Civil/Struct</t>
  </si>
  <si>
    <t>Electrical</t>
  </si>
  <si>
    <t>Instrument</t>
  </si>
  <si>
    <t>Safety/HSE</t>
  </si>
  <si>
    <t>ICSS</t>
  </si>
  <si>
    <t>Telecom</t>
  </si>
  <si>
    <t>Month</t>
  </si>
  <si>
    <t>MonthlyPhysical</t>
  </si>
  <si>
    <t>MonthlyMilestone</t>
  </si>
  <si>
    <t>OverallCum</t>
  </si>
  <si>
    <t>MilestoneLabel</t>
  </si>
  <si>
    <t>OverallPlan</t>
  </si>
  <si>
    <t>WP1</t>
  </si>
  <si>
    <t>WP2</t>
  </si>
  <si>
    <t>WP3</t>
  </si>
  <si>
    <t>WP4</t>
  </si>
  <si>
    <t>WP5</t>
  </si>
  <si>
    <t>WP6</t>
  </si>
  <si>
    <t>WP7</t>
  </si>
  <si>
    <t>WP8</t>
  </si>
  <si>
    <t>WP9</t>
  </si>
  <si>
    <t>WP10</t>
  </si>
  <si>
    <t>Jun-26</t>
  </si>
  <si>
    <t>Jul-26</t>
  </si>
  <si>
    <t>Mobilization of KEY PERSONNEL &amp; Contract KOM</t>
  </si>
  <si>
    <t>Aug-26</t>
  </si>
  <si>
    <t>Submission CCM, Local Communities, Management Plan, Security Plan for APPROVAL</t>
  </si>
  <si>
    <t>Sep-26</t>
  </si>
  <si>
    <t>Oct-26</t>
  </si>
  <si>
    <t>Nov-26</t>
  </si>
  <si>
    <t>Dec-26</t>
  </si>
  <si>
    <t>DE 50% IFC Return Code 1&amp;2</t>
  </si>
  <si>
    <t>Jan-27</t>
  </si>
  <si>
    <t>Feb-27</t>
  </si>
  <si>
    <t>Completion of all earthworks and foundations for TCC</t>
  </si>
  <si>
    <t>Mar-27</t>
  </si>
  <si>
    <t>Apr-27</t>
  </si>
  <si>
    <t>May-27</t>
  </si>
  <si>
    <t>Jun-27</t>
  </si>
  <si>
    <t>DE 100% IFC Return Code 1&amp;2</t>
  </si>
  <si>
    <t>Jul-27</t>
  </si>
  <si>
    <t>TCC READINESS CERTIFICATE</t>
  </si>
  <si>
    <t>Aug-27</t>
  </si>
  <si>
    <t>Sep-27</t>
  </si>
  <si>
    <t>Oct-27</t>
  </si>
  <si>
    <t>Nov-27</t>
  </si>
  <si>
    <t>Dec-27</t>
  </si>
  <si>
    <t>Slug Catcher delivered to SITE</t>
  </si>
  <si>
    <t>Jan-28</t>
  </si>
  <si>
    <t>TEG, Metering Unit delivered to SITE</t>
  </si>
  <si>
    <t>Feb-28</t>
  </si>
  <si>
    <t>Mar-28</t>
  </si>
  <si>
    <t>Apr-28</t>
  </si>
  <si>
    <t>May-28</t>
  </si>
  <si>
    <t>READY FOR COMMISSIONING CERTIFICATE</t>
  </si>
  <si>
    <t>Jun-28</t>
  </si>
  <si>
    <t>Jul-28</t>
  </si>
  <si>
    <t>ACHIEVEMENT OF COMMISSIONING CERTIFICATES</t>
  </si>
  <si>
    <t>Aug-28</t>
  </si>
  <si>
    <t>Sep-28</t>
  </si>
  <si>
    <t>Oct-28</t>
  </si>
  <si>
    <t>Nov-28</t>
  </si>
  <si>
    <t>PROVISIONAL ACCEPTANCE CERTIFICATE</t>
  </si>
  <si>
    <t>Dec-28</t>
  </si>
  <si>
    <t>Jan-29</t>
  </si>
  <si>
    <t>Completed of Start-up CERTIFICATE</t>
  </si>
  <si>
    <t>Feb-29</t>
  </si>
  <si>
    <t>Mar-29</t>
  </si>
  <si>
    <t>Apr-29</t>
  </si>
  <si>
    <t>May-29</t>
  </si>
  <si>
    <t>WP</t>
  </si>
  <si>
    <t>Weight</t>
  </si>
  <si>
    <t>Management &amp; Project Control</t>
  </si>
  <si>
    <t>Temporary Construction Camp</t>
  </si>
  <si>
    <t>Engineering</t>
  </si>
  <si>
    <t>Procurement &amp; Supply</t>
  </si>
  <si>
    <t>Pre-Fabrication &amp; Mech. Completion</t>
  </si>
  <si>
    <t>Transport, Storage &amp; Load-out</t>
  </si>
  <si>
    <t>Construction &amp; MC at SITE</t>
  </si>
  <si>
    <t>Commissioning &amp; Start-up</t>
  </si>
  <si>
    <t>Operation &amp; Maintenance</t>
  </si>
  <si>
    <t>Final Documentation &amp;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</si>
</sst>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color rgb="FF24397A"/>
      <sz val="16"/>
      <name val="Times New Roman"/>
    </font>
    <font>
      <sz val="11"/>
      <name val="Times New Roman"/>
    </font>
    <font>
      <b/>
      <color rgb="FF24397A"/>
      <sz val="11"/>
      <name val="Times New Roman"/>
    </font>
    <font>
      <b/>
      <color rgb="FF1565C0"/>
      <sz val="14"/>
      <name val="Times New Roman"/>
    </font>
    <font>
      <i/>
      <color rgb="FF888888"/>
      <sz val="9"/>
      <name val="Times New Roman"/>
    </font>
    <font>
      <b/>
      <color rgb="FFFFFFFF"/>
      <sz val="11"/>
      <name val="Times New Roman"/>
    </font>
  </fonts>
  <fills count="4">
    <fill>
      <patternFill patternType="none"/>
    </fill>
    <fill>
      <patternFill patternType="gray125"/>
    </fill>
    <fill>
      <patternFill patternType="solid">
        <fgColor rgb="FFEAF6FD"/>
      </patternFill>
    </fill>
    <fill>
      <patternFill patternType="solid">
        <fgColor rgb="FF24397A"/>
      </patternFill>
    </fill>
  </fills>
  <borders count="2">
    <border>
      <left/>
      <right/>
      <top/>
      <bottom/>
      <diagonal/>
    </border>
    <border>
      <left style="thin">
        <color rgb="FFBBC6DD"/>
      </left>
      <right style="thin">
        <color rgb="FFBBC6DD"/>
      </right>
      <top style="thin">
        <color rgb="FFBBC6DD"/>
      </top>
      <bottom style="thin">
        <color rgb="FFBBC6DD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0" borderId="0" xfId="0" applyFont="1"/>
    <xf numFmtId="0" fontId="6" fillId="3" borderId="1" xfId="0" applyFont="1" applyFill="1" applyBorder="1" applyAlignment="1">
      <alignment vertical="center" wrapText="1"/>
    </xf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6" fillId="3" borderId="0" xfId="0" applyFont="1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Procurement" displayName="Procurement" ref="A1:E17" totalsRowShown="1" headerRowCount="1">
  <autoFilter ref="A1:E17">
    <filterColumn colId="0" hiddenButton="0"/>
    <filterColumn colId="1" hiddenButton="0"/>
    <filterColumn colId="2" hiddenButton="0"/>
    <filterColumn colId="3" hiddenButton="0"/>
    <filterColumn colId="4" hiddenButton="0"/>
  </autoFilter>
  <tableColumns count="5">
    <tableColumn id="1" name="Name" totalsRowLabel="Total"/>
    <tableColumn id="2" name="PO" totalsRowFunction="none"/>
    <tableColumn id="3" name="FAT" totalsRowFunction="none"/>
    <tableColumn id="4" name="Site" totalsRowFunction="none"/>
    <tableColumn id="5" name="Prog" totalsRowFunction="none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name="Milestones" displayName="Milestones" ref="A1:D14" totalsRowShown="1" headerRowCount="1">
  <autoFilter ref="A1:D14">
    <filterColumn colId="0" hiddenButton="0"/>
    <filterColumn colId="1" hiddenButton="0"/>
    <filterColumn colId="2" hiddenButton="0"/>
    <filterColumn colId="3" hiddenButton="0"/>
  </autoFilter>
  <tableColumns count="4">
    <tableColumn id="1" name="Name" totalsRowLabel="Total"/>
    <tableColumn id="2" name="Baseline" totalsRowFunction="none"/>
    <tableColumn id="3" name="Forecast" totalsRowFunction="none"/>
    <tableColumn id="4" name="Status" totalsRowFunction="none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name="KPI" displayName="KPI" ref="A1:D13" totalsRowShown="1" headerRowCount="1">
  <autoFilter ref="A1:D13">
    <filterColumn colId="0" hiddenButton="0"/>
    <filterColumn colId="1" hiddenButton="0"/>
    <filterColumn colId="2" hiddenButton="0"/>
    <filterColumn colId="3" hiddenButton="0"/>
  </autoFilter>
  <tableColumns count="4">
    <tableColumn id="1" name="Metric" totalsRowLabel="Total"/>
    <tableColumn id="2" name="Wk64" totalsRowFunction="none"/>
    <tableColumn id="3" name="Wk65" totalsRowFunction="none"/>
    <tableColumn id="4" name="Wk66" totalsRowFunction="none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name="Phase" displayName="Phase" ref="A1:G7" totalsRowShown="1" headerRowCount="1">
  <autoFilter ref="A1:G7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</autoFilter>
  <tableColumns count="7">
    <tableColumn id="1" name="Workfront" totalsRowLabel="Total"/>
    <tableColumn id="2" name="P64" totalsRowFunction="none"/>
    <tableColumn id="3" name="A64" totalsRowFunction="none"/>
    <tableColumn id="4" name="P65" totalsRowFunction="none"/>
    <tableColumn id="5" name="A65" totalsRowFunction="none"/>
    <tableColumn id="6" name="P66" totalsRowFunction="none"/>
    <tableColumn id="7" name="A66" totalsRowFunction="none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name="Sections" displayName="Sections" ref="A1:D35" totalsRowShown="1" headerRowCount="1">
  <autoFilter ref="A1:D35">
    <filterColumn colId="0" hiddenButton="0"/>
    <filterColumn colId="1" hiddenButton="0"/>
    <filterColumn colId="2" hiddenButton="0"/>
    <filterColumn colId="3" hiddenButton="0"/>
  </autoFilter>
  <tableColumns count="4">
    <tableColumn id="1" name="Key" totalsRowLabel="Total"/>
    <tableColumn id="2" name="Wk64" totalsRowFunction="none"/>
    <tableColumn id="3" name="Wk65" totalsRowFunction="none"/>
    <tableColumn id="4" name="Wk66" totalsRowFunction="none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name="Variance" displayName="Variance" ref="A1:N4" totalsRowShown="1" headerRowCount="1">
  <autoFilter ref="A1:N4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  <filterColumn colId="12" hiddenButton="0"/>
    <filterColumn colId="13" hiddenButton="0"/>
  </autoFilter>
  <tableColumns count="14">
    <tableColumn id="1" name="Week" totalsRowLabel="Total"/>
    <tableColumn id="2" name="V1" totalsRowFunction="none"/>
    <tableColumn id="3" name="V2" totalsRowFunction="none"/>
    <tableColumn id="4" name="V3" totalsRowFunction="none"/>
    <tableColumn id="5" name="V4" totalsRowFunction="none"/>
    <tableColumn id="6" name="V5" totalsRowFunction="none"/>
    <tableColumn id="7" name="V6" totalsRowFunction="none"/>
    <tableColumn id="8" name="V7" totalsRowFunction="none"/>
    <tableColumn id="9" name="V8" totalsRowFunction="none"/>
    <tableColumn id="10" name="V9" totalsRowFunction="none"/>
    <tableColumn id="11" name="V10" totalsRowFunction="none"/>
    <tableColumn id="12" name="V11" totalsRowFunction="none"/>
    <tableColumn id="13" name="V12" totalsRowFunction="none"/>
    <tableColumn id="14" name="V13" totalsRowFunction="none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name="Engineering" displayName="Engineering" ref="A1:D11" totalsRowShown="1" headerRowCount="1">
  <autoFilter ref="A1:D11">
    <filterColumn colId="0" hiddenButton="0"/>
    <filterColumn colId="1" hiddenButton="0"/>
    <filterColumn colId="2" hiddenButton="0"/>
    <filterColumn colId="3" hiddenButton="0"/>
  </autoFilter>
  <tableColumns count="4">
    <tableColumn id="1" name="Name" totalsRowLabel="Total"/>
    <tableColumn id="2" name="Actual" totalsRowFunction="none"/>
    <tableColumn id="3" name="Target" totalsRowFunction="none"/>
    <tableColumn id="4" name="Status" totalsRowFunction="none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name="SCurve" displayName="SCurve" ref="A1:P37" totalsRowShown="1" headerRowCount="1">
  <autoFilter ref="A1:P37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  <filterColumn colId="12" hiddenButton="0"/>
    <filterColumn colId="13" hiddenButton="0"/>
    <filterColumn colId="14" hiddenButton="0"/>
    <filterColumn colId="15" hiddenButton="0"/>
  </autoFilter>
  <tableColumns count="16">
    <tableColumn id="1" name="Month" totalsRowLabel="Total"/>
    <tableColumn id="2" name="MonthlyPhysical" totalsRowFunction="none"/>
    <tableColumn id="3" name="MonthlyMilestone" totalsRowFunction="none"/>
    <tableColumn id="4" name="OverallCum" totalsRowFunction="none"/>
    <tableColumn id="5" name="MilestoneLabel" totalsRowFunction="none"/>
    <tableColumn id="6" name="OverallPlan" totalsRowFunction="none"/>
    <tableColumn id="7" name="WP1" totalsRowFunction="none"/>
    <tableColumn id="8" name="WP2" totalsRowFunction="none"/>
    <tableColumn id="9" name="WP3" totalsRowFunction="none"/>
    <tableColumn id="10" name="WP4" totalsRowFunction="none"/>
    <tableColumn id="11" name="WP5" totalsRowFunction="none"/>
    <tableColumn id="12" name="WP6" totalsRowFunction="none"/>
    <tableColumn id="13" name="WP7" totalsRowFunction="none"/>
    <tableColumn id="14" name="WP8" totalsRowFunction="none"/>
    <tableColumn id="15" name="WP9" totalsRowFunction="none"/>
    <tableColumn id="16" name="WP10" totalsRowFunction="none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name="WPInfo" displayName="WPInfo" ref="A1:C11" totalsRowShown="1" headerRowCount="1">
  <autoFilter ref="A1:C11">
    <filterColumn colId="0" hiddenButton="0"/>
    <filterColumn colId="1" hiddenButton="0"/>
    <filterColumn colId="2" hiddenButton="0"/>
  </autoFilter>
  <tableColumns count="3">
    <tableColumn id="1" name="WP" totalsRowLabel="Total"/>
    <tableColumn id="2" name="Name" totalsRowFunction="none"/>
    <tableColumn id="3" name="Weight" totalsRowFunction="non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B18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110" customWidth="1"/>
  </cols>
  <sheetData>
    <row r="1" spans="2:2" x14ac:dyDescent="0.25">
      <c r="B1" s="1" t="s">
        <v>0</v>
      </c>
    </row>
    <row r="2" spans="2:2" x14ac:dyDescent="0.25">
      <c r="B2" s="2" t="s">
        <v>1</v>
      </c>
    </row>
    <row r="3" spans="2:2" x14ac:dyDescent="0.25">
      <c r="B3" s="3" t="s">
        <v>2</v>
      </c>
    </row>
    <row r="4" spans="2:2" x14ac:dyDescent="0.25">
      <c r="B4" s="2" t="s">
        <v>3</v>
      </c>
    </row>
    <row r="5" spans="2:2" x14ac:dyDescent="0.25">
      <c r="B5" s="2" t="s">
        <v>4</v>
      </c>
    </row>
    <row r="6" spans="2:2" x14ac:dyDescent="0.25">
      <c r="B6" s="2" t="s">
        <v>5</v>
      </c>
    </row>
    <row r="7" spans="2:2" x14ac:dyDescent="0.25">
      <c r="B7" s="2" t="s">
        <v>6</v>
      </c>
    </row>
    <row r="8" spans="2:2" x14ac:dyDescent="0.25">
      <c r="B8" s="2" t="s">
        <v>7</v>
      </c>
    </row>
    <row r="9" spans="2:2" x14ac:dyDescent="0.25">
      <c r="B9" s="2" t="s">
        <v>1</v>
      </c>
    </row>
    <row r="10" spans="2:2" x14ac:dyDescent="0.25">
      <c r="B10" s="3" t="s">
        <v>8</v>
      </c>
    </row>
    <row r="11" spans="2:2" x14ac:dyDescent="0.25">
      <c r="B11" s="2" t="s">
        <v>9</v>
      </c>
    </row>
    <row r="12" spans="2:2" x14ac:dyDescent="0.25">
      <c r="B12" s="2" t="s">
        <v>10</v>
      </c>
    </row>
    <row r="13" spans="2:2" x14ac:dyDescent="0.25">
      <c r="B13" s="2" t="s">
        <v>1</v>
      </c>
    </row>
    <row r="14" spans="2:2" x14ac:dyDescent="0.25">
      <c r="B14" s="3" t="s">
        <v>11</v>
      </c>
    </row>
    <row r="15" spans="2:2" x14ac:dyDescent="0.25">
      <c r="B15" s="2" t="s">
        <v>12</v>
      </c>
    </row>
    <row r="16" spans="2:2" x14ac:dyDescent="0.25">
      <c r="B16" s="2" t="s">
        <v>1</v>
      </c>
    </row>
    <row r="17" spans="2:2" x14ac:dyDescent="0.25">
      <c r="B17" s="3" t="s">
        <v>13</v>
      </c>
    </row>
    <row r="18" spans="2:2" x14ac:dyDescent="0.25">
      <c r="B18" s="2" t="s">
        <v>14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7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34" customWidth="1"/>
    <col min="4" max="7" width="12" customWidth="1"/>
    <col min="8" max="8" width="11" customWidth="1"/>
    <col min="9" max="10" width="12" customWidth="1"/>
    <col min="11" max="11" width="20" customWidth="1"/>
    <col min="12" max="12" width="11" customWidth="1"/>
  </cols>
  <sheetData>
    <row r="1" spans="1:3" x14ac:dyDescent="0.25">
      <c r="A1" s="3" t="s">
        <v>15</v>
      </c>
      <c r="B1" s="4">
        <f>IFERROR(ROUND(SUMPRODUCT($C$4:$C$1000,$H$4:$H$1000)/SUM($C$4:$C$1000),1),0)</f>
        <v>100</v>
      </c>
      <c r="C1" s="5" t="s">
        <v>16</v>
      </c>
    </row>
    <row r="3" spans="1:12" x14ac:dyDescent="0.25">
      <c r="A3" s="6" t="s">
        <v>17</v>
      </c>
      <c r="B3" s="6" t="s">
        <v>18</v>
      </c>
      <c r="C3" s="6" t="s">
        <v>19</v>
      </c>
      <c r="D3" s="6" t="s">
        <v>20</v>
      </c>
      <c r="E3" s="6" t="s">
        <v>21</v>
      </c>
      <c r="F3" s="6" t="s">
        <v>22</v>
      </c>
      <c r="G3" s="6" t="s">
        <v>23</v>
      </c>
      <c r="H3" s="6" t="s">
        <v>24</v>
      </c>
      <c r="I3" s="6" t="s">
        <v>25</v>
      </c>
      <c r="J3" s="6" t="s">
        <v>26</v>
      </c>
      <c r="K3" s="6" t="s">
        <v>27</v>
      </c>
      <c r="L3" s="6" t="s">
        <v>28</v>
      </c>
    </row>
    <row r="4" spans="1:12" x14ac:dyDescent="0.25">
      <c r="A4" s="7" t="s">
        <v>29</v>
      </c>
      <c r="B4" s="7" t="s">
        <v>30</v>
      </c>
      <c r="C4" s="8">
        <v>40</v>
      </c>
      <c r="D4" s="7" t="s">
        <v>31</v>
      </c>
      <c r="E4" s="7" t="s">
        <v>32</v>
      </c>
      <c r="F4" s="7" t="s">
        <v>31</v>
      </c>
      <c r="G4" s="7" t="s">
        <v>32</v>
      </c>
      <c r="H4" s="8">
        <v>100</v>
      </c>
      <c r="I4" s="7" t="s">
        <v>33</v>
      </c>
      <c r="J4" s="7" t="s">
        <v>34</v>
      </c>
      <c r="K4" s="7"/>
      <c r="L4" s="7" t="s">
        <v>35</v>
      </c>
    </row>
    <row r="5" spans="1:12" x14ac:dyDescent="0.25">
      <c r="A5" s="7" t="s">
        <v>36</v>
      </c>
      <c r="B5" s="7" t="s">
        <v>37</v>
      </c>
      <c r="C5" s="8">
        <v>30</v>
      </c>
      <c r="D5" s="7" t="s">
        <v>31</v>
      </c>
      <c r="E5" s="7" t="s">
        <v>32</v>
      </c>
      <c r="F5" s="7" t="s">
        <v>31</v>
      </c>
      <c r="G5" s="7" t="s">
        <v>32</v>
      </c>
      <c r="H5" s="8">
        <v>100</v>
      </c>
      <c r="I5" s="7" t="s">
        <v>33</v>
      </c>
      <c r="J5" s="7" t="s">
        <v>34</v>
      </c>
      <c r="K5" s="7"/>
      <c r="L5" s="7" t="s">
        <v>38</v>
      </c>
    </row>
    <row r="6" spans="1:12" x14ac:dyDescent="0.25">
      <c r="A6" s="7" t="s">
        <v>39</v>
      </c>
      <c r="B6" s="7" t="s">
        <v>40</v>
      </c>
      <c r="C6" s="8">
        <v>20</v>
      </c>
      <c r="D6" s="7" t="s">
        <v>31</v>
      </c>
      <c r="E6" s="7" t="s">
        <v>32</v>
      </c>
      <c r="F6" s="7" t="s">
        <v>31</v>
      </c>
      <c r="G6" s="7" t="s">
        <v>32</v>
      </c>
      <c r="H6" s="8">
        <v>100</v>
      </c>
      <c r="I6" s="7" t="s">
        <v>33</v>
      </c>
      <c r="J6" s="7" t="s">
        <v>34</v>
      </c>
      <c r="K6" s="7"/>
      <c r="L6" s="7" t="s">
        <v>41</v>
      </c>
    </row>
    <row r="7" spans="1:12" x14ac:dyDescent="0.25">
      <c r="A7" s="7" t="s">
        <v>42</v>
      </c>
      <c r="B7" s="7" t="s">
        <v>43</v>
      </c>
      <c r="C7" s="8">
        <v>10</v>
      </c>
      <c r="D7" s="7" t="s">
        <v>31</v>
      </c>
      <c r="E7" s="7" t="s">
        <v>32</v>
      </c>
      <c r="F7" s="7" t="s">
        <v>31</v>
      </c>
      <c r="G7" s="7" t="s">
        <v>32</v>
      </c>
      <c r="H7" s="8">
        <v>100</v>
      </c>
      <c r="I7" s="7" t="s">
        <v>33</v>
      </c>
      <c r="J7" s="7" t="s">
        <v>34</v>
      </c>
      <c r="K7" s="7"/>
      <c r="L7" s="7" t="s">
        <v>44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7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34" customWidth="1"/>
    <col min="4" max="7" width="12" customWidth="1"/>
    <col min="8" max="8" width="11" customWidth="1"/>
    <col min="9" max="10" width="12" customWidth="1"/>
    <col min="11" max="11" width="20" customWidth="1"/>
    <col min="12" max="14" width="11" customWidth="1"/>
  </cols>
  <sheetData>
    <row r="1" spans="1:3" x14ac:dyDescent="0.25">
      <c r="A1" s="3" t="s">
        <v>45</v>
      </c>
      <c r="B1" s="4">
        <f>IFERROR(ROUND(SUMPRODUCT($C$4:$C$1000,$H$4:$H$1000)/SUM($C$4:$C$1000),1),0)</f>
        <v>93</v>
      </c>
      <c r="C1" s="5" t="s">
        <v>16</v>
      </c>
    </row>
    <row r="3" spans="1:14" x14ac:dyDescent="0.25">
      <c r="A3" s="6" t="s">
        <v>17</v>
      </c>
      <c r="B3" s="6" t="s">
        <v>18</v>
      </c>
      <c r="C3" s="6" t="s">
        <v>19</v>
      </c>
      <c r="D3" s="6" t="s">
        <v>20</v>
      </c>
      <c r="E3" s="6" t="s">
        <v>21</v>
      </c>
      <c r="F3" s="6" t="s">
        <v>22</v>
      </c>
      <c r="G3" s="6" t="s">
        <v>23</v>
      </c>
      <c r="H3" s="6" t="s">
        <v>24</v>
      </c>
      <c r="I3" s="6" t="s">
        <v>25</v>
      </c>
      <c r="J3" s="6" t="s">
        <v>26</v>
      </c>
      <c r="K3" s="6" t="s">
        <v>27</v>
      </c>
      <c r="L3" s="6" t="s">
        <v>46</v>
      </c>
      <c r="M3" s="6" t="s">
        <v>47</v>
      </c>
      <c r="N3" s="6" t="s">
        <v>48</v>
      </c>
    </row>
    <row r="4" spans="1:14" x14ac:dyDescent="0.25">
      <c r="A4" s="7" t="s">
        <v>49</v>
      </c>
      <c r="B4" s="7" t="s">
        <v>50</v>
      </c>
      <c r="C4" s="8">
        <v>40</v>
      </c>
      <c r="D4" s="7" t="s">
        <v>31</v>
      </c>
      <c r="E4" s="7" t="s">
        <v>32</v>
      </c>
      <c r="F4" s="7" t="s">
        <v>31</v>
      </c>
      <c r="G4" s="7" t="s">
        <v>32</v>
      </c>
      <c r="H4" s="8">
        <v>100</v>
      </c>
      <c r="I4" s="7" t="s">
        <v>33</v>
      </c>
      <c r="J4" s="7" t="s">
        <v>34</v>
      </c>
      <c r="K4" s="7"/>
      <c r="L4" s="7">
        <v>14000</v>
      </c>
      <c r="M4" s="7">
        <v>99.3</v>
      </c>
      <c r="N4" s="7">
        <v>150</v>
      </c>
    </row>
    <row r="5" spans="1:14" x14ac:dyDescent="0.25">
      <c r="A5" s="7" t="s">
        <v>51</v>
      </c>
      <c r="B5" s="7" t="s">
        <v>52</v>
      </c>
      <c r="C5" s="8">
        <v>30</v>
      </c>
      <c r="D5" s="7" t="s">
        <v>31</v>
      </c>
      <c r="E5" s="7" t="s">
        <v>32</v>
      </c>
      <c r="F5" s="7" t="s">
        <v>31</v>
      </c>
      <c r="G5" s="7"/>
      <c r="H5" s="8">
        <v>95</v>
      </c>
      <c r="I5" s="7" t="s">
        <v>53</v>
      </c>
      <c r="J5" s="7" t="s">
        <v>34</v>
      </c>
      <c r="K5" s="7"/>
      <c r="L5" s="7">
        <v>11000</v>
      </c>
      <c r="M5" s="7"/>
      <c r="N5" s="7">
        <v>130</v>
      </c>
    </row>
    <row r="6" spans="1:14" x14ac:dyDescent="0.25">
      <c r="A6" s="7" t="s">
        <v>54</v>
      </c>
      <c r="B6" s="7" t="s">
        <v>55</v>
      </c>
      <c r="C6" s="8">
        <v>20</v>
      </c>
      <c r="D6" s="7" t="s">
        <v>31</v>
      </c>
      <c r="E6" s="7" t="s">
        <v>32</v>
      </c>
      <c r="F6" s="7" t="s">
        <v>31</v>
      </c>
      <c r="G6" s="7"/>
      <c r="H6" s="8">
        <v>90</v>
      </c>
      <c r="I6" s="7" t="s">
        <v>53</v>
      </c>
      <c r="J6" s="7" t="s">
        <v>34</v>
      </c>
      <c r="K6" s="7"/>
      <c r="L6" s="7">
        <v>7000</v>
      </c>
      <c r="M6" s="7"/>
      <c r="N6" s="7">
        <v>90</v>
      </c>
    </row>
    <row r="7" spans="1:14" x14ac:dyDescent="0.25">
      <c r="A7" s="7" t="s">
        <v>56</v>
      </c>
      <c r="B7" s="7" t="s">
        <v>57</v>
      </c>
      <c r="C7" s="8">
        <v>10</v>
      </c>
      <c r="D7" s="7" t="s">
        <v>31</v>
      </c>
      <c r="E7" s="7" t="s">
        <v>32</v>
      </c>
      <c r="F7" s="7" t="s">
        <v>31</v>
      </c>
      <c r="G7" s="7"/>
      <c r="H7" s="8">
        <v>65</v>
      </c>
      <c r="I7" s="7" t="s">
        <v>53</v>
      </c>
      <c r="J7" s="7" t="s">
        <v>34</v>
      </c>
      <c r="K7" s="7"/>
      <c r="L7" s="7">
        <v>3300</v>
      </c>
      <c r="M7" s="7"/>
      <c r="N7" s="7">
        <v>50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7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34" customWidth="1"/>
    <col min="4" max="7" width="12" customWidth="1"/>
    <col min="8" max="8" width="11" customWidth="1"/>
    <col min="9" max="10" width="12" customWidth="1"/>
    <col min="11" max="11" width="20" customWidth="1"/>
    <col min="12" max="13" width="11" customWidth="1"/>
  </cols>
  <sheetData>
    <row r="1" spans="1:3" x14ac:dyDescent="0.25">
      <c r="A1" s="3" t="s">
        <v>58</v>
      </c>
      <c r="B1" s="4">
        <f>IFERROR(ROUND(SUMPRODUCT($C$4:$C$1000,$H$4:$H$1000)/SUM($C$4:$C$1000),1),0)</f>
        <v>48</v>
      </c>
      <c r="C1" s="5" t="s">
        <v>16</v>
      </c>
    </row>
    <row r="3" spans="1:13" x14ac:dyDescent="0.25">
      <c r="A3" s="6" t="s">
        <v>17</v>
      </c>
      <c r="B3" s="6" t="s">
        <v>18</v>
      </c>
      <c r="C3" s="6" t="s">
        <v>19</v>
      </c>
      <c r="D3" s="6" t="s">
        <v>20</v>
      </c>
      <c r="E3" s="6" t="s">
        <v>21</v>
      </c>
      <c r="F3" s="6" t="s">
        <v>22</v>
      </c>
      <c r="G3" s="6" t="s">
        <v>23</v>
      </c>
      <c r="H3" s="6" t="s">
        <v>24</v>
      </c>
      <c r="I3" s="6" t="s">
        <v>25</v>
      </c>
      <c r="J3" s="6" t="s">
        <v>26</v>
      </c>
      <c r="K3" s="6" t="s">
        <v>27</v>
      </c>
      <c r="L3" s="6" t="s">
        <v>59</v>
      </c>
      <c r="M3" s="6" t="s">
        <v>60</v>
      </c>
    </row>
    <row r="4" spans="1:13" x14ac:dyDescent="0.25">
      <c r="A4" s="7" t="s">
        <v>61</v>
      </c>
      <c r="B4" s="7" t="s">
        <v>62</v>
      </c>
      <c r="C4" s="8">
        <v>40</v>
      </c>
      <c r="D4" s="7" t="s">
        <v>31</v>
      </c>
      <c r="E4" s="7" t="s">
        <v>32</v>
      </c>
      <c r="F4" s="7" t="s">
        <v>31</v>
      </c>
      <c r="G4" s="7"/>
      <c r="H4" s="8">
        <v>60</v>
      </c>
      <c r="I4" s="7" t="s">
        <v>53</v>
      </c>
      <c r="J4" s="7" t="s">
        <v>34</v>
      </c>
      <c r="K4" s="7"/>
      <c r="L4" s="7" t="s">
        <v>63</v>
      </c>
      <c r="M4" s="7">
        <v>800</v>
      </c>
    </row>
    <row r="5" spans="1:13" x14ac:dyDescent="0.25">
      <c r="A5" s="7" t="s">
        <v>64</v>
      </c>
      <c r="B5" s="7" t="s">
        <v>65</v>
      </c>
      <c r="C5" s="8">
        <v>30</v>
      </c>
      <c r="D5" s="7" t="s">
        <v>31</v>
      </c>
      <c r="E5" s="7" t="s">
        <v>32</v>
      </c>
      <c r="F5" s="7" t="s">
        <v>31</v>
      </c>
      <c r="G5" s="7"/>
      <c r="H5" s="8">
        <v>50</v>
      </c>
      <c r="I5" s="7" t="s">
        <v>53</v>
      </c>
      <c r="J5" s="7" t="s">
        <v>34</v>
      </c>
      <c r="K5" s="7"/>
      <c r="L5" s="7"/>
      <c r="M5" s="7">
        <v>500</v>
      </c>
    </row>
    <row r="6" spans="1:13" x14ac:dyDescent="0.25">
      <c r="A6" s="7" t="s">
        <v>66</v>
      </c>
      <c r="B6" s="7" t="s">
        <v>67</v>
      </c>
      <c r="C6" s="8">
        <v>20</v>
      </c>
      <c r="D6" s="7" t="s">
        <v>31</v>
      </c>
      <c r="E6" s="7" t="s">
        <v>32</v>
      </c>
      <c r="F6" s="7" t="s">
        <v>31</v>
      </c>
      <c r="G6" s="7"/>
      <c r="H6" s="8">
        <v>40</v>
      </c>
      <c r="I6" s="7" t="s">
        <v>53</v>
      </c>
      <c r="J6" s="7" t="s">
        <v>34</v>
      </c>
      <c r="K6" s="7"/>
      <c r="L6" s="7"/>
      <c r="M6" s="7">
        <v>262</v>
      </c>
    </row>
    <row r="7" spans="1:13" x14ac:dyDescent="0.25">
      <c r="A7" s="7" t="s">
        <v>68</v>
      </c>
      <c r="B7" s="7" t="s">
        <v>69</v>
      </c>
      <c r="C7" s="8">
        <v>10</v>
      </c>
      <c r="D7" s="7" t="s">
        <v>31</v>
      </c>
      <c r="E7" s="7" t="s">
        <v>32</v>
      </c>
      <c r="F7" s="7" t="s">
        <v>31</v>
      </c>
      <c r="G7" s="7"/>
      <c r="H7" s="8">
        <v>10</v>
      </c>
      <c r="I7" s="7" t="s">
        <v>53</v>
      </c>
      <c r="J7" s="7" t="s">
        <v>34</v>
      </c>
      <c r="K7" s="7"/>
      <c r="L7" s="7"/>
      <c r="M7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7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34" customWidth="1"/>
    <col min="4" max="7" width="12" customWidth="1"/>
    <col min="8" max="8" width="11" customWidth="1"/>
    <col min="9" max="10" width="12" customWidth="1"/>
    <col min="11" max="11" width="20" customWidth="1"/>
    <col min="12" max="14" width="11" customWidth="1"/>
  </cols>
  <sheetData>
    <row r="1" spans="1:3" x14ac:dyDescent="0.25">
      <c r="A1" s="3" t="s">
        <v>70</v>
      </c>
      <c r="B1" s="4">
        <f>IFERROR(ROUND(SUMPRODUCT($C$4:$C$1000,$H$4:$H$1000)/SUM($C$4:$C$1000),1),0)</f>
        <v>30.5</v>
      </c>
      <c r="C1" s="5" t="s">
        <v>16</v>
      </c>
    </row>
    <row r="3" spans="1:14" x14ac:dyDescent="0.25">
      <c r="A3" s="6" t="s">
        <v>17</v>
      </c>
      <c r="B3" s="6" t="s">
        <v>18</v>
      </c>
      <c r="C3" s="6" t="s">
        <v>19</v>
      </c>
      <c r="D3" s="6" t="s">
        <v>20</v>
      </c>
      <c r="E3" s="6" t="s">
        <v>21</v>
      </c>
      <c r="F3" s="6" t="s">
        <v>22</v>
      </c>
      <c r="G3" s="6" t="s">
        <v>23</v>
      </c>
      <c r="H3" s="6" t="s">
        <v>24</v>
      </c>
      <c r="I3" s="6" t="s">
        <v>25</v>
      </c>
      <c r="J3" s="6" t="s">
        <v>26</v>
      </c>
      <c r="K3" s="6" t="s">
        <v>27</v>
      </c>
      <c r="L3" s="6" t="s">
        <v>71</v>
      </c>
      <c r="M3" s="6" t="s">
        <v>72</v>
      </c>
      <c r="N3" s="6" t="s">
        <v>73</v>
      </c>
    </row>
    <row r="4" spans="1:14" x14ac:dyDescent="0.25">
      <c r="A4" s="7" t="s">
        <v>74</v>
      </c>
      <c r="B4" s="7" t="s">
        <v>75</v>
      </c>
      <c r="C4" s="8">
        <v>40</v>
      </c>
      <c r="D4" s="7" t="s">
        <v>31</v>
      </c>
      <c r="E4" s="7" t="s">
        <v>32</v>
      </c>
      <c r="F4" s="7" t="s">
        <v>31</v>
      </c>
      <c r="G4" s="7"/>
      <c r="H4" s="8">
        <v>40</v>
      </c>
      <c r="I4" s="7" t="s">
        <v>53</v>
      </c>
      <c r="J4" s="7" t="s">
        <v>34</v>
      </c>
      <c r="K4" s="7"/>
      <c r="L4" s="7">
        <v>19</v>
      </c>
      <c r="M4" s="7">
        <v>45</v>
      </c>
      <c r="N4" s="7">
        <v>28</v>
      </c>
    </row>
    <row r="5" spans="1:14" x14ac:dyDescent="0.25">
      <c r="A5" s="7" t="s">
        <v>76</v>
      </c>
      <c r="B5" s="7" t="s">
        <v>77</v>
      </c>
      <c r="C5" s="8">
        <v>30</v>
      </c>
      <c r="D5" s="7" t="s">
        <v>31</v>
      </c>
      <c r="E5" s="7" t="s">
        <v>32</v>
      </c>
      <c r="F5" s="7" t="s">
        <v>31</v>
      </c>
      <c r="G5" s="7"/>
      <c r="H5" s="8">
        <v>30</v>
      </c>
      <c r="I5" s="7" t="s">
        <v>53</v>
      </c>
      <c r="J5" s="7" t="s">
        <v>34</v>
      </c>
      <c r="K5" s="7"/>
      <c r="L5" s="7"/>
      <c r="M5" s="7"/>
      <c r="N5" s="7"/>
    </row>
    <row r="6" spans="1:14" x14ac:dyDescent="0.25">
      <c r="A6" s="7" t="s">
        <v>78</v>
      </c>
      <c r="B6" s="7" t="s">
        <v>79</v>
      </c>
      <c r="C6" s="8">
        <v>20</v>
      </c>
      <c r="D6" s="7" t="s">
        <v>31</v>
      </c>
      <c r="E6" s="7" t="s">
        <v>32</v>
      </c>
      <c r="F6" s="7" t="s">
        <v>31</v>
      </c>
      <c r="G6" s="7"/>
      <c r="H6" s="8">
        <v>15</v>
      </c>
      <c r="I6" s="7" t="s">
        <v>53</v>
      </c>
      <c r="J6" s="7" t="s">
        <v>34</v>
      </c>
      <c r="K6" s="7"/>
      <c r="L6" s="7"/>
      <c r="M6" s="7"/>
      <c r="N6" s="7"/>
    </row>
    <row r="7" spans="1:14" x14ac:dyDescent="0.25">
      <c r="A7" s="7" t="s">
        <v>80</v>
      </c>
      <c r="B7" s="7" t="s">
        <v>81</v>
      </c>
      <c r="C7" s="8">
        <v>10</v>
      </c>
      <c r="D7" s="7" t="s">
        <v>31</v>
      </c>
      <c r="E7" s="7" t="s">
        <v>32</v>
      </c>
      <c r="F7" s="7" t="s">
        <v>31</v>
      </c>
      <c r="G7" s="7"/>
      <c r="H7" s="8">
        <v>25</v>
      </c>
      <c r="I7" s="7" t="s">
        <v>53</v>
      </c>
      <c r="J7" s="7" t="s">
        <v>34</v>
      </c>
      <c r="K7" s="7"/>
      <c r="L7" s="7"/>
      <c r="M7" s="7"/>
      <c r="N7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7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34" customWidth="1"/>
    <col min="4" max="7" width="12" customWidth="1"/>
    <col min="8" max="8" width="11" customWidth="1"/>
    <col min="9" max="10" width="12" customWidth="1"/>
    <col min="11" max="11" width="20" customWidth="1"/>
    <col min="12" max="13" width="11" customWidth="1"/>
  </cols>
  <sheetData>
    <row r="1" spans="1:3" x14ac:dyDescent="0.25">
      <c r="A1" s="3" t="s">
        <v>82</v>
      </c>
      <c r="B1" s="4">
        <f>IFERROR(ROUND(SUMPRODUCT($C$4:$C$1000,$H$4:$H$1000)/SUM($C$4:$C$1000),1),0)</f>
        <v>3</v>
      </c>
      <c r="C1" s="5" t="s">
        <v>16</v>
      </c>
    </row>
    <row r="3" spans="1:13" x14ac:dyDescent="0.25">
      <c r="A3" s="6" t="s">
        <v>17</v>
      </c>
      <c r="B3" s="6" t="s">
        <v>18</v>
      </c>
      <c r="C3" s="6" t="s">
        <v>19</v>
      </c>
      <c r="D3" s="6" t="s">
        <v>20</v>
      </c>
      <c r="E3" s="6" t="s">
        <v>21</v>
      </c>
      <c r="F3" s="6" t="s">
        <v>22</v>
      </c>
      <c r="G3" s="6" t="s">
        <v>23</v>
      </c>
      <c r="H3" s="6" t="s">
        <v>24</v>
      </c>
      <c r="I3" s="6" t="s">
        <v>25</v>
      </c>
      <c r="J3" s="6" t="s">
        <v>26</v>
      </c>
      <c r="K3" s="6" t="s">
        <v>27</v>
      </c>
      <c r="L3" s="6" t="s">
        <v>83</v>
      </c>
      <c r="M3" s="6" t="s">
        <v>84</v>
      </c>
    </row>
    <row r="4" spans="1:13" x14ac:dyDescent="0.25">
      <c r="A4" s="7" t="s">
        <v>85</v>
      </c>
      <c r="B4" s="7" t="s">
        <v>86</v>
      </c>
      <c r="C4" s="8">
        <v>40</v>
      </c>
      <c r="D4" s="7" t="s">
        <v>31</v>
      </c>
      <c r="E4" s="7" t="s">
        <v>32</v>
      </c>
      <c r="F4" s="7" t="s">
        <v>31</v>
      </c>
      <c r="G4" s="7"/>
      <c r="H4" s="8">
        <v>5</v>
      </c>
      <c r="I4" s="7" t="s">
        <v>53</v>
      </c>
      <c r="J4" s="7" t="s">
        <v>34</v>
      </c>
      <c r="K4" s="7"/>
      <c r="L4" s="7" t="s">
        <v>35</v>
      </c>
      <c r="M4" s="7">
        <v>20</v>
      </c>
    </row>
    <row r="5" spans="1:13" x14ac:dyDescent="0.25">
      <c r="A5" s="7" t="s">
        <v>87</v>
      </c>
      <c r="B5" s="7" t="s">
        <v>88</v>
      </c>
      <c r="C5" s="8">
        <v>30</v>
      </c>
      <c r="D5" s="7" t="s">
        <v>31</v>
      </c>
      <c r="E5" s="7" t="s">
        <v>32</v>
      </c>
      <c r="F5" s="7" t="s">
        <v>31</v>
      </c>
      <c r="G5" s="7"/>
      <c r="H5" s="8">
        <v>2</v>
      </c>
      <c r="I5" s="7" t="s">
        <v>53</v>
      </c>
      <c r="J5" s="7" t="s">
        <v>34</v>
      </c>
      <c r="K5" s="7"/>
      <c r="L5" s="7" t="s">
        <v>89</v>
      </c>
      <c r="M5" s="7">
        <v>10</v>
      </c>
    </row>
    <row r="6" spans="1:13" x14ac:dyDescent="0.25">
      <c r="A6" s="7" t="s">
        <v>90</v>
      </c>
      <c r="B6" s="7" t="s">
        <v>91</v>
      </c>
      <c r="C6" s="8">
        <v>20</v>
      </c>
      <c r="D6" s="7" t="s">
        <v>31</v>
      </c>
      <c r="E6" s="7" t="s">
        <v>32</v>
      </c>
      <c r="F6" s="7"/>
      <c r="G6" s="7"/>
      <c r="H6" s="8">
        <v>0</v>
      </c>
      <c r="I6" s="7" t="s">
        <v>92</v>
      </c>
      <c r="J6" s="7" t="s">
        <v>34</v>
      </c>
      <c r="K6" s="7"/>
      <c r="L6" s="7" t="s">
        <v>93</v>
      </c>
      <c r="M6" s="7">
        <v>8</v>
      </c>
    </row>
    <row r="7" spans="1:13" x14ac:dyDescent="0.25">
      <c r="A7" s="7" t="s">
        <v>94</v>
      </c>
      <c r="B7" s="7" t="s">
        <v>95</v>
      </c>
      <c r="C7" s="8">
        <v>10</v>
      </c>
      <c r="D7" s="7" t="s">
        <v>31</v>
      </c>
      <c r="E7" s="7" t="s">
        <v>32</v>
      </c>
      <c r="F7" s="7" t="s">
        <v>31</v>
      </c>
      <c r="G7" s="7"/>
      <c r="H7" s="8">
        <v>4</v>
      </c>
      <c r="I7" s="7" t="s">
        <v>53</v>
      </c>
      <c r="J7" s="7" t="s">
        <v>34</v>
      </c>
      <c r="K7" s="7"/>
      <c r="L7" s="7"/>
      <c r="M7" s="7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4" customWidth="1"/>
    <col min="3" max="3" width="8" customWidth="1"/>
    <col min="4" max="4" width="14" customWidth="1"/>
    <col min="5" max="5" width="8" customWidth="1"/>
    <col min="6" max="6" width="30" customWidth="1"/>
  </cols>
  <sheetData>
    <row r="1" spans="1:6" x14ac:dyDescent="0.25">
      <c r="A1" s="6" t="s">
        <v>96</v>
      </c>
      <c r="B1" s="6" t="s">
        <v>97</v>
      </c>
      <c r="C1" s="6" t="s">
        <v>98</v>
      </c>
      <c r="D1" s="6" t="s">
        <v>99</v>
      </c>
      <c r="E1" s="6" t="s">
        <v>100</v>
      </c>
      <c r="F1" s="6" t="s">
        <v>101</v>
      </c>
    </row>
    <row r="2" spans="1:6" x14ac:dyDescent="0.25">
      <c r="A2" s="7" t="s">
        <v>102</v>
      </c>
      <c r="B2" s="7" t="s">
        <v>103</v>
      </c>
      <c r="C2" s="7">
        <v>0</v>
      </c>
      <c r="D2" s="7">
        <v>780</v>
      </c>
      <c r="E2" s="7">
        <v>3</v>
      </c>
      <c r="F2" s="7"/>
    </row>
    <row r="3" spans="1:6" x14ac:dyDescent="0.25">
      <c r="A3" s="7" t="s">
        <v>104</v>
      </c>
      <c r="B3" s="7" t="s">
        <v>105</v>
      </c>
      <c r="C3" s="7">
        <v>0</v>
      </c>
      <c r="D3" s="7">
        <v>820</v>
      </c>
      <c r="E3" s="7">
        <v>2</v>
      </c>
      <c r="F3" s="7"/>
    </row>
    <row r="4" spans="1:6" x14ac:dyDescent="0.25">
      <c r="A4" s="7" t="s">
        <v>106</v>
      </c>
      <c r="B4" s="7" t="s">
        <v>107</v>
      </c>
      <c r="C4" s="7">
        <v>0</v>
      </c>
      <c r="D4" s="7">
        <v>890</v>
      </c>
      <c r="E4" s="7">
        <v>1</v>
      </c>
      <c r="F4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2" customWidth="1"/>
    <col min="2" max="4" width="14" customWidth="1"/>
    <col min="5" max="5" width="8" customWidth="1"/>
  </cols>
  <sheetData>
    <row r="1" spans="1:5" x14ac:dyDescent="0.25">
      <c r="A1" s="9" t="s">
        <v>108</v>
      </c>
      <c r="B1" s="9" t="s">
        <v>109</v>
      </c>
      <c r="C1" s="9" t="s">
        <v>110</v>
      </c>
      <c r="D1" s="9" t="s">
        <v>111</v>
      </c>
      <c r="E1" s="9" t="s">
        <v>112</v>
      </c>
    </row>
    <row r="2" spans="1:5" x14ac:dyDescent="0.25">
      <c r="A2" s="2" t="s">
        <v>113</v>
      </c>
      <c r="B2" s="2" t="s">
        <v>114</v>
      </c>
      <c r="C2" s="2" t="s">
        <v>115</v>
      </c>
      <c r="D2" s="2" t="s">
        <v>116</v>
      </c>
      <c r="E2" s="2">
        <v>100</v>
      </c>
    </row>
    <row r="3" spans="1:5" x14ac:dyDescent="0.25">
      <c r="A3" s="2" t="s">
        <v>117</v>
      </c>
      <c r="B3" s="2" t="s">
        <v>118</v>
      </c>
      <c r="C3" s="2" t="s">
        <v>115</v>
      </c>
      <c r="D3" s="2" t="s">
        <v>116</v>
      </c>
      <c r="E3" s="2">
        <v>100</v>
      </c>
    </row>
    <row r="4" spans="1:5" x14ac:dyDescent="0.25">
      <c r="A4" s="2" t="s">
        <v>119</v>
      </c>
      <c r="B4" s="2" t="s">
        <v>118</v>
      </c>
      <c r="C4" s="2" t="s">
        <v>120</v>
      </c>
      <c r="D4" s="2" t="s">
        <v>121</v>
      </c>
      <c r="E4" s="2">
        <v>94</v>
      </c>
    </row>
    <row r="5" spans="1:5" x14ac:dyDescent="0.25">
      <c r="A5" s="2" t="s">
        <v>122</v>
      </c>
      <c r="B5" s="2" t="s">
        <v>123</v>
      </c>
      <c r="C5" s="2" t="s">
        <v>124</v>
      </c>
      <c r="D5" s="2" t="s">
        <v>125</v>
      </c>
      <c r="E5" s="2">
        <v>93</v>
      </c>
    </row>
    <row r="6" spans="1:5" x14ac:dyDescent="0.25">
      <c r="A6" s="2" t="s">
        <v>126</v>
      </c>
      <c r="B6" s="2" t="s">
        <v>118</v>
      </c>
      <c r="C6" s="2" t="s">
        <v>127</v>
      </c>
      <c r="D6" s="2" t="s">
        <v>128</v>
      </c>
      <c r="E6" s="2">
        <v>100</v>
      </c>
    </row>
    <row r="7" spans="1:5" x14ac:dyDescent="0.25">
      <c r="A7" s="2" t="s">
        <v>129</v>
      </c>
      <c r="B7" s="2" t="s">
        <v>118</v>
      </c>
      <c r="C7" s="2" t="s">
        <v>120</v>
      </c>
      <c r="D7" s="2" t="s">
        <v>121</v>
      </c>
      <c r="E7" s="2">
        <v>94</v>
      </c>
    </row>
    <row r="8" spans="1:5" x14ac:dyDescent="0.25">
      <c r="A8" s="2" t="s">
        <v>130</v>
      </c>
      <c r="B8" s="2" t="s">
        <v>118</v>
      </c>
      <c r="C8" s="2" t="s">
        <v>127</v>
      </c>
      <c r="D8" s="2" t="s">
        <v>128</v>
      </c>
      <c r="E8" s="2">
        <v>100</v>
      </c>
    </row>
    <row r="9" spans="1:5" x14ac:dyDescent="0.25">
      <c r="A9" s="2" t="s">
        <v>131</v>
      </c>
      <c r="B9" s="2" t="s">
        <v>118</v>
      </c>
      <c r="C9" s="2" t="s">
        <v>132</v>
      </c>
      <c r="D9" s="2" t="s">
        <v>133</v>
      </c>
      <c r="E9" s="2">
        <v>100</v>
      </c>
    </row>
    <row r="10" spans="1:5" x14ac:dyDescent="0.25">
      <c r="A10" s="2" t="s">
        <v>134</v>
      </c>
      <c r="B10" s="2" t="s">
        <v>118</v>
      </c>
      <c r="C10" s="2" t="s">
        <v>135</v>
      </c>
      <c r="D10" s="2" t="s">
        <v>136</v>
      </c>
      <c r="E10" s="2">
        <v>96</v>
      </c>
    </row>
    <row r="11" spans="1:5" x14ac:dyDescent="0.25">
      <c r="A11" s="2" t="s">
        <v>137</v>
      </c>
      <c r="B11" s="2" t="s">
        <v>118</v>
      </c>
      <c r="C11" s="2" t="s">
        <v>135</v>
      </c>
      <c r="D11" s="2" t="s">
        <v>136</v>
      </c>
      <c r="E11" s="2">
        <v>96</v>
      </c>
    </row>
    <row r="12" spans="1:5" x14ac:dyDescent="0.25">
      <c r="A12" s="2" t="s">
        <v>138</v>
      </c>
      <c r="B12" s="2" t="s">
        <v>139</v>
      </c>
      <c r="C12" s="2" t="s">
        <v>140</v>
      </c>
      <c r="D12" s="2" t="s">
        <v>141</v>
      </c>
      <c r="E12" s="2">
        <v>100</v>
      </c>
    </row>
    <row r="13" spans="1:5" x14ac:dyDescent="0.25">
      <c r="A13" s="2" t="s">
        <v>142</v>
      </c>
      <c r="B13" s="2" t="s">
        <v>143</v>
      </c>
      <c r="C13" s="2" t="s">
        <v>144</v>
      </c>
      <c r="D13" s="2" t="s">
        <v>145</v>
      </c>
      <c r="E13" s="2">
        <v>100</v>
      </c>
    </row>
    <row r="14" spans="1:5" x14ac:dyDescent="0.25">
      <c r="A14" s="2" t="s">
        <v>146</v>
      </c>
      <c r="B14" s="2" t="s">
        <v>143</v>
      </c>
      <c r="C14" s="2" t="s">
        <v>144</v>
      </c>
      <c r="D14" s="2" t="s">
        <v>145</v>
      </c>
      <c r="E14" s="2">
        <v>100</v>
      </c>
    </row>
    <row r="15" spans="1:5" x14ac:dyDescent="0.25">
      <c r="A15" s="2" t="s">
        <v>147</v>
      </c>
      <c r="B15" s="2" t="s">
        <v>118</v>
      </c>
      <c r="C15" s="2" t="s">
        <v>148</v>
      </c>
      <c r="D15" s="2" t="s">
        <v>149</v>
      </c>
      <c r="E15" s="2">
        <v>99</v>
      </c>
    </row>
    <row r="16" spans="1:5" x14ac:dyDescent="0.25">
      <c r="A16" s="2" t="s">
        <v>150</v>
      </c>
      <c r="B16" s="2" t="s">
        <v>118</v>
      </c>
      <c r="C16" s="2" t="s">
        <v>148</v>
      </c>
      <c r="D16" s="2" t="s">
        <v>149</v>
      </c>
      <c r="E16" s="2">
        <v>99</v>
      </c>
    </row>
    <row r="17" spans="1:5" x14ac:dyDescent="0.25">
      <c r="A17" s="2" t="s">
        <v>151</v>
      </c>
      <c r="B17" s="2" t="s">
        <v>118</v>
      </c>
      <c r="C17" s="2" t="s">
        <v>152</v>
      </c>
      <c r="D17" s="2" t="s">
        <v>136</v>
      </c>
      <c r="E17" s="2">
        <v>78</v>
      </c>
    </row>
  </sheetData>
  <pageMargins left="0.7" right="0.7" top="0.75" bottom="0.75" header="0.3" footer="0.3"/>
  <pageSetup orientation="portrait" horizontalDpi="4294967295" verticalDpi="4294967295" scale="100" fitToWidth="1" fitToHeight="1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42" customWidth="1"/>
    <col min="2" max="4" width="14" customWidth="1"/>
  </cols>
  <sheetData>
    <row r="1" spans="1:4" x14ac:dyDescent="0.25">
      <c r="A1" s="9" t="s">
        <v>108</v>
      </c>
      <c r="B1" s="9" t="s">
        <v>153</v>
      </c>
      <c r="C1" s="9" t="s">
        <v>154</v>
      </c>
      <c r="D1" s="9" t="s">
        <v>25</v>
      </c>
    </row>
    <row r="2" spans="1:4" x14ac:dyDescent="0.25">
      <c r="A2" s="2" t="s">
        <v>155</v>
      </c>
      <c r="B2" s="2" t="s">
        <v>31</v>
      </c>
      <c r="C2" s="2" t="s">
        <v>31</v>
      </c>
      <c r="D2" s="2" t="s">
        <v>156</v>
      </c>
    </row>
    <row r="3" spans="1:4" x14ac:dyDescent="0.25">
      <c r="A3" s="2" t="s">
        <v>157</v>
      </c>
      <c r="B3" s="2" t="s">
        <v>158</v>
      </c>
      <c r="C3" s="2" t="s">
        <v>158</v>
      </c>
      <c r="D3" s="2" t="s">
        <v>156</v>
      </c>
    </row>
    <row r="4" spans="1:4" x14ac:dyDescent="0.25">
      <c r="A4" s="2" t="s">
        <v>159</v>
      </c>
      <c r="B4" s="2" t="s">
        <v>160</v>
      </c>
      <c r="C4" s="2" t="s">
        <v>160</v>
      </c>
      <c r="D4" s="2" t="s">
        <v>156</v>
      </c>
    </row>
    <row r="5" spans="1:4" x14ac:dyDescent="0.25">
      <c r="A5" s="2" t="s">
        <v>161</v>
      </c>
      <c r="B5" s="2" t="s">
        <v>118</v>
      </c>
      <c r="C5" s="2" t="s">
        <v>118</v>
      </c>
      <c r="D5" s="2" t="s">
        <v>156</v>
      </c>
    </row>
    <row r="6" spans="1:4" x14ac:dyDescent="0.25">
      <c r="A6" s="2" t="s">
        <v>162</v>
      </c>
      <c r="B6" s="2" t="s">
        <v>163</v>
      </c>
      <c r="C6" s="2" t="s">
        <v>163</v>
      </c>
      <c r="D6" s="2" t="s">
        <v>156</v>
      </c>
    </row>
    <row r="7" spans="1:4" x14ac:dyDescent="0.25">
      <c r="A7" s="2" t="s">
        <v>164</v>
      </c>
      <c r="B7" s="2" t="s">
        <v>165</v>
      </c>
      <c r="C7" s="2" t="s">
        <v>165</v>
      </c>
      <c r="D7" s="2" t="s">
        <v>156</v>
      </c>
    </row>
    <row r="8" spans="1:4" x14ac:dyDescent="0.25">
      <c r="A8" s="2" t="s">
        <v>166</v>
      </c>
      <c r="B8" s="2" t="s">
        <v>167</v>
      </c>
      <c r="C8" s="2" t="s">
        <v>167</v>
      </c>
      <c r="D8" s="2" t="s">
        <v>156</v>
      </c>
    </row>
    <row r="9" spans="1:4" x14ac:dyDescent="0.25">
      <c r="A9" s="2" t="s">
        <v>168</v>
      </c>
      <c r="B9" s="2" t="s">
        <v>169</v>
      </c>
      <c r="C9" s="2" t="s">
        <v>169</v>
      </c>
      <c r="D9" s="2" t="s">
        <v>156</v>
      </c>
    </row>
    <row r="10" spans="1:4" x14ac:dyDescent="0.25">
      <c r="A10" s="2" t="s">
        <v>170</v>
      </c>
      <c r="B10" s="2" t="s">
        <v>171</v>
      </c>
      <c r="C10" s="2" t="s">
        <v>171</v>
      </c>
      <c r="D10" s="2" t="s">
        <v>172</v>
      </c>
    </row>
    <row r="11" spans="1:4" x14ac:dyDescent="0.25">
      <c r="A11" s="2" t="s">
        <v>173</v>
      </c>
      <c r="B11" s="2" t="s">
        <v>121</v>
      </c>
      <c r="C11" s="2" t="s">
        <v>121</v>
      </c>
      <c r="D11" s="2" t="s">
        <v>172</v>
      </c>
    </row>
    <row r="12" spans="1:4" x14ac:dyDescent="0.25">
      <c r="A12" s="2" t="s">
        <v>174</v>
      </c>
      <c r="B12" s="2" t="s">
        <v>121</v>
      </c>
      <c r="C12" s="2" t="s">
        <v>121</v>
      </c>
      <c r="D12" s="2" t="s">
        <v>172</v>
      </c>
    </row>
    <row r="13" spans="1:4" x14ac:dyDescent="0.25">
      <c r="A13" s="2" t="s">
        <v>175</v>
      </c>
      <c r="B13" s="2" t="s">
        <v>176</v>
      </c>
      <c r="C13" s="2" t="s">
        <v>176</v>
      </c>
      <c r="D13" s="2" t="s">
        <v>172</v>
      </c>
    </row>
    <row r="14" spans="1:4" x14ac:dyDescent="0.25">
      <c r="A14" s="2" t="s">
        <v>177</v>
      </c>
      <c r="B14" s="2" t="s">
        <v>178</v>
      </c>
      <c r="C14" s="2" t="s">
        <v>178</v>
      </c>
      <c r="D14" s="2" t="s">
        <v>172</v>
      </c>
    </row>
  </sheetData>
  <pageMargins left="0.7" right="0.7" top="0.75" bottom="0.75" header="0.3" footer="0.3"/>
  <pageSetup orientation="portrait" horizontalDpi="4294967295" verticalDpi="4294967295" scale="100" fitToWidth="1" fitToHeight="1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4" width="34" customWidth="1"/>
  </cols>
  <sheetData>
    <row r="1" spans="1:4" x14ac:dyDescent="0.25">
      <c r="A1" s="9" t="s">
        <v>179</v>
      </c>
      <c r="B1" s="9" t="s">
        <v>180</v>
      </c>
      <c r="C1" s="9" t="s">
        <v>181</v>
      </c>
      <c r="D1" s="9" t="s">
        <v>182</v>
      </c>
    </row>
    <row r="2" spans="1:4" x14ac:dyDescent="0.25">
      <c r="A2" s="2" t="s">
        <v>183</v>
      </c>
      <c r="B2" s="2" t="s">
        <v>184</v>
      </c>
      <c r="C2" s="2" t="s">
        <v>184</v>
      </c>
      <c r="D2" s="2" t="s">
        <v>184</v>
      </c>
    </row>
    <row r="3" spans="1:4" x14ac:dyDescent="0.25">
      <c r="A3" s="2" t="s">
        <v>185</v>
      </c>
      <c r="B3" s="2" t="s">
        <v>186</v>
      </c>
      <c r="C3" s="2" t="s">
        <v>186</v>
      </c>
      <c r="D3" s="2" t="s">
        <v>186</v>
      </c>
    </row>
    <row r="4" spans="1:4" x14ac:dyDescent="0.25">
      <c r="A4" s="2" t="s">
        <v>187</v>
      </c>
      <c r="B4" s="2" t="s">
        <v>188</v>
      </c>
      <c r="C4" s="2" t="s">
        <v>188</v>
      </c>
      <c r="D4" s="2" t="s">
        <v>188</v>
      </c>
    </row>
    <row r="5" spans="1:4" x14ac:dyDescent="0.25">
      <c r="A5" s="2" t="s">
        <v>189</v>
      </c>
      <c r="B5" s="2" t="s">
        <v>190</v>
      </c>
      <c r="C5" s="2" t="s">
        <v>191</v>
      </c>
      <c r="D5" s="2" t="s">
        <v>192</v>
      </c>
    </row>
    <row r="6" spans="1:4" x14ac:dyDescent="0.25">
      <c r="A6" s="2" t="s">
        <v>193</v>
      </c>
      <c r="B6" s="2" t="s">
        <v>194</v>
      </c>
      <c r="C6" s="2" t="s">
        <v>195</v>
      </c>
      <c r="D6" s="2" t="s">
        <v>196</v>
      </c>
    </row>
    <row r="7" spans="1:4" x14ac:dyDescent="0.25">
      <c r="A7" s="2" t="s">
        <v>197</v>
      </c>
      <c r="B7" s="2" t="s">
        <v>198</v>
      </c>
      <c r="C7" s="2" t="s">
        <v>199</v>
      </c>
      <c r="D7" s="2" t="s">
        <v>200</v>
      </c>
    </row>
    <row r="8" spans="1:4" x14ac:dyDescent="0.25">
      <c r="A8" s="2" t="s">
        <v>201</v>
      </c>
      <c r="B8" s="2" t="s">
        <v>103</v>
      </c>
      <c r="C8" s="2" t="s">
        <v>105</v>
      </c>
      <c r="D8" s="2" t="s">
        <v>107</v>
      </c>
    </row>
    <row r="9" spans="1:4" x14ac:dyDescent="0.25">
      <c r="A9" s="2" t="s">
        <v>202</v>
      </c>
      <c r="B9" s="2" t="s">
        <v>203</v>
      </c>
      <c r="C9" s="2" t="s">
        <v>204</v>
      </c>
      <c r="D9" s="2" t="s">
        <v>204</v>
      </c>
    </row>
    <row r="10" spans="1:4" x14ac:dyDescent="0.25">
      <c r="A10" s="2" t="s">
        <v>205</v>
      </c>
      <c r="B10" s="2" t="s">
        <v>206</v>
      </c>
      <c r="C10" s="2" t="s">
        <v>204</v>
      </c>
      <c r="D10" s="2" t="s">
        <v>204</v>
      </c>
    </row>
    <row r="11" spans="1:4" x14ac:dyDescent="0.25">
      <c r="A11" s="2" t="s">
        <v>207</v>
      </c>
      <c r="B11" s="2" t="s">
        <v>208</v>
      </c>
      <c r="C11" s="2" t="s">
        <v>209</v>
      </c>
      <c r="D11" s="2" t="s">
        <v>210</v>
      </c>
    </row>
    <row r="12" spans="1:4" x14ac:dyDescent="0.25">
      <c r="A12" s="2" t="s">
        <v>211</v>
      </c>
      <c r="B12" s="2" t="s">
        <v>212</v>
      </c>
      <c r="C12" s="2" t="s">
        <v>206</v>
      </c>
      <c r="D12" s="2" t="s">
        <v>203</v>
      </c>
    </row>
    <row r="13" spans="1:4" x14ac:dyDescent="0.25">
      <c r="A13" s="2" t="s">
        <v>213</v>
      </c>
      <c r="B13" s="2" t="s">
        <v>214</v>
      </c>
      <c r="C13" s="2" t="s">
        <v>215</v>
      </c>
      <c r="D13" s="2" t="s">
        <v>216</v>
      </c>
    </row>
  </sheetData>
  <pageMargins left="0.7" right="0.7" top="0.75" bottom="0.75" header="0.3" footer="0.3"/>
  <pageSetup orientation="portrait" horizontalDpi="4294967295" verticalDpi="4294967295" scale="100" fitToWidth="1" fitToHeight="1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7" width="8" customWidth="1"/>
  </cols>
  <sheetData>
    <row r="1" spans="1:7" x14ac:dyDescent="0.25">
      <c r="A1" s="9" t="s">
        <v>217</v>
      </c>
      <c r="B1" s="9" t="s">
        <v>218</v>
      </c>
      <c r="C1" s="9" t="s">
        <v>219</v>
      </c>
      <c r="D1" s="9" t="s">
        <v>220</v>
      </c>
      <c r="E1" s="9" t="s">
        <v>221</v>
      </c>
      <c r="F1" s="9" t="s">
        <v>222</v>
      </c>
      <c r="G1" s="9" t="s">
        <v>223</v>
      </c>
    </row>
    <row r="2" spans="1:7" x14ac:dyDescent="0.25">
      <c r="A2" s="2" t="s">
        <v>224</v>
      </c>
      <c r="B2" s="2">
        <v>100</v>
      </c>
      <c r="C2" s="2">
        <v>100</v>
      </c>
      <c r="D2" s="2">
        <v>100</v>
      </c>
      <c r="E2" s="2">
        <v>100</v>
      </c>
      <c r="F2" s="2">
        <v>100</v>
      </c>
      <c r="G2" s="2">
        <f>ENG!B1</f>
        <v>100</v>
      </c>
    </row>
    <row r="3" spans="1:7" x14ac:dyDescent="0.25">
      <c r="A3" s="2" t="s">
        <v>225</v>
      </c>
      <c r="B3" s="2">
        <v>83.5</v>
      </c>
      <c r="C3" s="2">
        <v>85.5</v>
      </c>
      <c r="D3" s="2">
        <v>86</v>
      </c>
      <c r="E3" s="2">
        <v>88.5</v>
      </c>
      <c r="F3" s="2">
        <v>88.5</v>
      </c>
      <c r="G3" s="2">
        <v>91</v>
      </c>
    </row>
    <row r="4" spans="1:7" x14ac:dyDescent="0.25">
      <c r="A4" s="2" t="s">
        <v>226</v>
      </c>
      <c r="B4" s="2">
        <v>85</v>
      </c>
      <c r="C4" s="2">
        <v>87</v>
      </c>
      <c r="D4" s="2">
        <v>88</v>
      </c>
      <c r="E4" s="2">
        <v>90</v>
      </c>
      <c r="F4" s="2">
        <v>91</v>
      </c>
      <c r="G4" s="2">
        <f>FAB!B1</f>
        <v>93</v>
      </c>
    </row>
    <row r="5" spans="1:7" x14ac:dyDescent="0.25">
      <c r="A5" s="2" t="s">
        <v>227</v>
      </c>
      <c r="B5" s="2">
        <v>40</v>
      </c>
      <c r="C5" s="2">
        <v>42</v>
      </c>
      <c r="D5" s="2">
        <v>43</v>
      </c>
      <c r="E5" s="2">
        <v>45</v>
      </c>
      <c r="F5" s="2">
        <v>46</v>
      </c>
      <c r="G5" s="2">
        <f>LOG!B1</f>
        <v>48</v>
      </c>
    </row>
    <row r="6" spans="1:7" x14ac:dyDescent="0.25">
      <c r="A6" s="2" t="s">
        <v>228</v>
      </c>
      <c r="B6" s="2">
        <v>23</v>
      </c>
      <c r="C6" s="2">
        <v>25</v>
      </c>
      <c r="D6" s="2">
        <v>25.7</v>
      </c>
      <c r="E6" s="2">
        <v>27.8</v>
      </c>
      <c r="F6" s="2">
        <v>28</v>
      </c>
      <c r="G6" s="2">
        <f>SITE!B1</f>
        <v>30.5</v>
      </c>
    </row>
    <row r="7" spans="1:7" x14ac:dyDescent="0.25">
      <c r="A7" s="2" t="s">
        <v>229</v>
      </c>
      <c r="B7" s="2">
        <v>0</v>
      </c>
      <c r="C7" s="2">
        <v>0</v>
      </c>
      <c r="D7" s="2">
        <v>0.5</v>
      </c>
      <c r="E7" s="2">
        <v>1</v>
      </c>
      <c r="F7" s="2">
        <v>2</v>
      </c>
      <c r="G7" s="2">
        <f>COMM!B1</f>
        <v>3</v>
      </c>
    </row>
  </sheetData>
  <pageMargins left="0.7" right="0.7" top="0.75" bottom="0.75" header="0.3" footer="0.3"/>
  <pageSetup orientation="portrait" horizontalDpi="4294967295" verticalDpi="4294967295" scale="100" fitToWidth="1" fitToHeight="1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4" width="34" customWidth="1"/>
  </cols>
  <sheetData>
    <row r="1" spans="1:4" x14ac:dyDescent="0.25">
      <c r="A1" s="9" t="s">
        <v>230</v>
      </c>
      <c r="B1" s="9" t="s">
        <v>180</v>
      </c>
      <c r="C1" s="9" t="s">
        <v>181</v>
      </c>
      <c r="D1" s="9" t="s">
        <v>182</v>
      </c>
    </row>
    <row r="2" spans="1:4" x14ac:dyDescent="0.25">
      <c r="A2" s="2" t="s">
        <v>231</v>
      </c>
      <c r="B2" s="2" t="s">
        <v>232</v>
      </c>
      <c r="C2" s="2" t="s">
        <v>232</v>
      </c>
      <c r="D2" s="2" t="str">
        <f>TEXT(ENG!B1,"0.0")&amp;"%"</f>
        <v>100.0%</v>
      </c>
    </row>
    <row r="3" spans="1:4" x14ac:dyDescent="0.25">
      <c r="A3" s="2" t="s">
        <v>233</v>
      </c>
      <c r="B3" s="2" t="s">
        <v>234</v>
      </c>
      <c r="C3" s="2" t="s">
        <v>234</v>
      </c>
      <c r="D3" s="2" t="s">
        <v>234</v>
      </c>
    </row>
    <row r="4" spans="1:4" x14ac:dyDescent="0.25">
      <c r="A4" s="2" t="s">
        <v>235</v>
      </c>
      <c r="B4" s="2" t="s">
        <v>236</v>
      </c>
      <c r="C4" s="2" t="s">
        <v>236</v>
      </c>
      <c r="D4" s="2" t="s">
        <v>236</v>
      </c>
    </row>
    <row r="5" spans="1:4" x14ac:dyDescent="0.25">
      <c r="A5" s="2" t="s">
        <v>237</v>
      </c>
      <c r="B5" s="2" t="s">
        <v>238</v>
      </c>
      <c r="C5" s="2" t="s">
        <v>238</v>
      </c>
      <c r="D5" s="2" t="s">
        <v>238</v>
      </c>
    </row>
    <row r="6" spans="1:4" x14ac:dyDescent="0.25">
      <c r="A6" s="2" t="s">
        <v>239</v>
      </c>
      <c r="B6" s="2" t="s">
        <v>232</v>
      </c>
      <c r="C6" s="2" t="s">
        <v>232</v>
      </c>
      <c r="D6" s="2" t="s">
        <v>232</v>
      </c>
    </row>
    <row r="7" spans="1:4" x14ac:dyDescent="0.25">
      <c r="A7" s="2" t="s">
        <v>240</v>
      </c>
      <c r="B7" s="2" t="s">
        <v>241</v>
      </c>
      <c r="C7" s="2" t="s">
        <v>241</v>
      </c>
      <c r="D7" s="2" t="s">
        <v>241</v>
      </c>
    </row>
    <row r="8" spans="1:4" x14ac:dyDescent="0.25">
      <c r="A8" s="2" t="s">
        <v>242</v>
      </c>
      <c r="B8" s="2" t="s">
        <v>204</v>
      </c>
      <c r="C8" s="2" t="s">
        <v>204</v>
      </c>
      <c r="D8" s="2" t="s">
        <v>204</v>
      </c>
    </row>
    <row r="9" spans="1:4" x14ac:dyDescent="0.25">
      <c r="A9" s="2" t="s">
        <v>243</v>
      </c>
      <c r="B9" s="2" t="s">
        <v>244</v>
      </c>
      <c r="C9" s="2" t="s">
        <v>245</v>
      </c>
      <c r="D9" s="2" t="s">
        <v>246</v>
      </c>
    </row>
    <row r="10" spans="1:4" x14ac:dyDescent="0.25">
      <c r="A10" s="2" t="s">
        <v>247</v>
      </c>
      <c r="B10" s="2" t="s">
        <v>248</v>
      </c>
      <c r="C10" s="2" t="s">
        <v>249</v>
      </c>
      <c r="D10" s="2" t="s">
        <v>250</v>
      </c>
    </row>
    <row r="11" spans="1:4" x14ac:dyDescent="0.25">
      <c r="A11" s="2" t="s">
        <v>251</v>
      </c>
      <c r="B11" s="2" t="s">
        <v>252</v>
      </c>
      <c r="C11" s="2" t="s">
        <v>252</v>
      </c>
      <c r="D11" s="2" t="s">
        <v>252</v>
      </c>
    </row>
    <row r="12" spans="1:4" x14ac:dyDescent="0.25">
      <c r="A12" s="2" t="s">
        <v>253</v>
      </c>
      <c r="B12" s="2" t="s">
        <v>254</v>
      </c>
      <c r="C12" s="2" t="s">
        <v>255</v>
      </c>
      <c r="D12" s="2" t="s">
        <v>256</v>
      </c>
    </row>
    <row r="13" spans="1:4" x14ac:dyDescent="0.25">
      <c r="A13" s="2" t="s">
        <v>257</v>
      </c>
      <c r="B13" s="2" t="s">
        <v>204</v>
      </c>
      <c r="C13" s="2" t="s">
        <v>204</v>
      </c>
      <c r="D13" s="2" t="s">
        <v>204</v>
      </c>
    </row>
    <row r="14" spans="1:4" x14ac:dyDescent="0.25">
      <c r="A14" s="2" t="s">
        <v>258</v>
      </c>
      <c r="B14" s="2" t="s">
        <v>259</v>
      </c>
      <c r="C14" s="2" t="s">
        <v>260</v>
      </c>
      <c r="D14" s="2" t="str">
        <f>TEXT(FAB!B1,"0.0")&amp;"%"</f>
        <v>93.0%</v>
      </c>
    </row>
    <row r="15" spans="1:4" x14ac:dyDescent="0.25">
      <c r="A15" s="2" t="s">
        <v>261</v>
      </c>
      <c r="B15" s="2" t="s">
        <v>262</v>
      </c>
      <c r="C15" s="2" t="s">
        <v>263</v>
      </c>
      <c r="D15" s="2" t="s">
        <v>264</v>
      </c>
    </row>
    <row r="16" spans="1:4" x14ac:dyDescent="0.25">
      <c r="A16" s="2" t="s">
        <v>265</v>
      </c>
      <c r="B16" s="2" t="s">
        <v>266</v>
      </c>
      <c r="C16" s="2" t="s">
        <v>267</v>
      </c>
      <c r="D16" s="2" t="s">
        <v>268</v>
      </c>
    </row>
    <row r="17" spans="1:4" x14ac:dyDescent="0.25">
      <c r="A17" s="2" t="s">
        <v>269</v>
      </c>
      <c r="B17" s="2" t="s">
        <v>270</v>
      </c>
      <c r="C17" s="2" t="s">
        <v>271</v>
      </c>
      <c r="D17" s="2" t="s">
        <v>272</v>
      </c>
    </row>
    <row r="18" spans="1:4" x14ac:dyDescent="0.25">
      <c r="A18" s="2" t="s">
        <v>273</v>
      </c>
      <c r="B18" s="2" t="s">
        <v>274</v>
      </c>
      <c r="C18" s="2" t="s">
        <v>275</v>
      </c>
      <c r="D18" s="2" t="s">
        <v>276</v>
      </c>
    </row>
    <row r="19" spans="1:4" x14ac:dyDescent="0.25">
      <c r="A19" s="2" t="s">
        <v>277</v>
      </c>
      <c r="B19" s="2" t="s">
        <v>278</v>
      </c>
      <c r="C19" s="2" t="s">
        <v>279</v>
      </c>
      <c r="D19" s="2" t="str">
        <f>TEXT(LOG!B1,"0.0")&amp;"%"</f>
        <v>48.0%</v>
      </c>
    </row>
    <row r="20" spans="1:4" x14ac:dyDescent="0.25">
      <c r="A20" s="2" t="s">
        <v>280</v>
      </c>
      <c r="B20" s="2" t="s">
        <v>281</v>
      </c>
      <c r="C20" s="2" t="s">
        <v>63</v>
      </c>
      <c r="D20" s="2" t="s">
        <v>63</v>
      </c>
    </row>
    <row r="21" spans="1:4" x14ac:dyDescent="0.25">
      <c r="A21" s="2" t="s">
        <v>282</v>
      </c>
      <c r="B21" s="2" t="s">
        <v>283</v>
      </c>
      <c r="C21" s="2" t="s">
        <v>283</v>
      </c>
      <c r="D21" s="2" t="s">
        <v>283</v>
      </c>
    </row>
    <row r="22" spans="1:4" x14ac:dyDescent="0.25">
      <c r="A22" s="2" t="s">
        <v>284</v>
      </c>
      <c r="B22" s="2" t="s">
        <v>204</v>
      </c>
      <c r="C22" s="2" t="s">
        <v>204</v>
      </c>
      <c r="D22" s="2" t="s">
        <v>204</v>
      </c>
    </row>
    <row r="23" spans="1:4" x14ac:dyDescent="0.25">
      <c r="A23" s="2" t="s">
        <v>285</v>
      </c>
      <c r="B23" s="2" t="s">
        <v>286</v>
      </c>
      <c r="C23" s="2" t="s">
        <v>287</v>
      </c>
      <c r="D23" s="2" t="str">
        <f>TEXT(SITE!B1,"0.0")&amp;"%"</f>
        <v>30.5%</v>
      </c>
    </row>
    <row r="24" spans="1:4" x14ac:dyDescent="0.25">
      <c r="A24" s="2" t="s">
        <v>288</v>
      </c>
      <c r="B24" s="2" t="s">
        <v>289</v>
      </c>
      <c r="C24" s="2" t="s">
        <v>290</v>
      </c>
      <c r="D24" s="2" t="s">
        <v>291</v>
      </c>
    </row>
    <row r="25" spans="1:4" x14ac:dyDescent="0.25">
      <c r="A25" s="2" t="s">
        <v>292</v>
      </c>
      <c r="B25" s="2" t="s">
        <v>293</v>
      </c>
      <c r="C25" s="2" t="s">
        <v>294</v>
      </c>
      <c r="D25" s="2" t="s">
        <v>295</v>
      </c>
    </row>
    <row r="26" spans="1:4" x14ac:dyDescent="0.25">
      <c r="A26" s="2" t="s">
        <v>296</v>
      </c>
      <c r="B26" s="2" t="s">
        <v>297</v>
      </c>
      <c r="C26" s="2" t="s">
        <v>297</v>
      </c>
      <c r="D26" s="2" t="s">
        <v>297</v>
      </c>
    </row>
    <row r="27" spans="1:4" x14ac:dyDescent="0.25">
      <c r="A27" s="2" t="s">
        <v>298</v>
      </c>
      <c r="B27" s="2" t="s">
        <v>299</v>
      </c>
      <c r="C27" s="2" t="s">
        <v>300</v>
      </c>
      <c r="D27" s="2" t="s">
        <v>301</v>
      </c>
    </row>
    <row r="28" spans="1:4" x14ac:dyDescent="0.25">
      <c r="A28" s="2" t="s">
        <v>302</v>
      </c>
      <c r="B28" s="2" t="s">
        <v>303</v>
      </c>
      <c r="C28" s="2" t="s">
        <v>304</v>
      </c>
      <c r="D28" s="2" t="str">
        <f>TEXT(COMM!B1,"0.0")&amp;"%"</f>
        <v>3.0%</v>
      </c>
    </row>
    <row r="29" spans="1:4" x14ac:dyDescent="0.25">
      <c r="A29" s="2" t="s">
        <v>305</v>
      </c>
      <c r="B29" s="2" t="s">
        <v>306</v>
      </c>
      <c r="C29" s="2" t="s">
        <v>306</v>
      </c>
      <c r="D29" s="2" t="s">
        <v>306</v>
      </c>
    </row>
    <row r="30" spans="1:4" x14ac:dyDescent="0.25">
      <c r="A30" s="2" t="s">
        <v>307</v>
      </c>
      <c r="B30" s="2" t="s">
        <v>308</v>
      </c>
      <c r="C30" s="2" t="s">
        <v>309</v>
      </c>
      <c r="D30" s="2" t="s">
        <v>310</v>
      </c>
    </row>
    <row r="31" spans="1:4" x14ac:dyDescent="0.25">
      <c r="A31" s="2" t="s">
        <v>311</v>
      </c>
      <c r="B31" s="2" t="s">
        <v>214</v>
      </c>
      <c r="C31" s="2" t="s">
        <v>215</v>
      </c>
      <c r="D31" s="2" t="s">
        <v>216</v>
      </c>
    </row>
    <row r="32" spans="1:4" x14ac:dyDescent="0.25">
      <c r="A32" s="2" t="s">
        <v>312</v>
      </c>
      <c r="B32" s="2" t="s">
        <v>204</v>
      </c>
      <c r="C32" s="2" t="s">
        <v>204</v>
      </c>
      <c r="D32" s="2" t="s">
        <v>204</v>
      </c>
    </row>
    <row r="33" spans="1:4" x14ac:dyDescent="0.25">
      <c r="A33" s="2" t="s">
        <v>313</v>
      </c>
      <c r="B33" s="2" t="s">
        <v>314</v>
      </c>
      <c r="C33" s="2" t="s">
        <v>315</v>
      </c>
      <c r="D33" s="2" t="s">
        <v>316</v>
      </c>
    </row>
    <row r="34" spans="1:4" x14ac:dyDescent="0.25">
      <c r="A34" s="2" t="s">
        <v>317</v>
      </c>
      <c r="B34" s="2" t="s">
        <v>318</v>
      </c>
      <c r="C34" s="2" t="s">
        <v>319</v>
      </c>
      <c r="D34" s="2" t="s">
        <v>320</v>
      </c>
    </row>
    <row r="35" spans="1:4" x14ac:dyDescent="0.25">
      <c r="A35" s="2" t="s">
        <v>321</v>
      </c>
      <c r="B35" s="2" t="s">
        <v>212</v>
      </c>
      <c r="C35" s="2" t="s">
        <v>206</v>
      </c>
      <c r="D35" s="2" t="s">
        <v>203</v>
      </c>
    </row>
  </sheetData>
  <pageMargins left="0.7" right="0.7" top="0.75" bottom="0.75" header="0.3" footer="0.3"/>
  <pageSetup orientation="portrait" horizontalDpi="4294967295" verticalDpi="4294967295" scale="100" fitToWidth="1" fitToHeight="1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14" width="6" customWidth="1"/>
  </cols>
  <sheetData>
    <row r="1" spans="1:14" x14ac:dyDescent="0.25">
      <c r="A1" s="9" t="s">
        <v>96</v>
      </c>
      <c r="B1" s="9" t="s">
        <v>322</v>
      </c>
      <c r="C1" s="9" t="s">
        <v>323</v>
      </c>
      <c r="D1" s="9" t="s">
        <v>324</v>
      </c>
      <c r="E1" s="9" t="s">
        <v>325</v>
      </c>
      <c r="F1" s="9" t="s">
        <v>326</v>
      </c>
      <c r="G1" s="9" t="s">
        <v>327</v>
      </c>
      <c r="H1" s="9" t="s">
        <v>328</v>
      </c>
      <c r="I1" s="9" t="s">
        <v>329</v>
      </c>
      <c r="J1" s="9" t="s">
        <v>330</v>
      </c>
      <c r="K1" s="9" t="s">
        <v>331</v>
      </c>
      <c r="L1" s="9" t="s">
        <v>332</v>
      </c>
      <c r="M1" s="9" t="s">
        <v>333</v>
      </c>
      <c r="N1" s="9" t="s">
        <v>334</v>
      </c>
    </row>
    <row r="2" spans="1:14" x14ac:dyDescent="0.25">
      <c r="A2" s="2" t="s">
        <v>102</v>
      </c>
      <c r="B2" s="2">
        <v>0</v>
      </c>
      <c r="C2" s="2">
        <v>0</v>
      </c>
      <c r="D2" s="2">
        <v>-2</v>
      </c>
      <c r="E2" s="2">
        <v>-3</v>
      </c>
      <c r="F2" s="2">
        <v>-1</v>
      </c>
      <c r="G2" s="2">
        <v>-4</v>
      </c>
      <c r="H2" s="2">
        <v>-2</v>
      </c>
      <c r="I2" s="2">
        <v>0</v>
      </c>
      <c r="J2" s="2">
        <v>0</v>
      </c>
      <c r="K2" s="2">
        <v>-1</v>
      </c>
      <c r="L2" s="2">
        <v>-2</v>
      </c>
      <c r="M2" s="2">
        <v>0</v>
      </c>
      <c r="N2" s="2">
        <v>0</v>
      </c>
    </row>
    <row r="3" spans="1:14" x14ac:dyDescent="0.25">
      <c r="A3" s="2" t="s">
        <v>104</v>
      </c>
      <c r="B3" s="2">
        <v>0</v>
      </c>
      <c r="C3" s="2">
        <v>0</v>
      </c>
      <c r="D3" s="2">
        <v>-3</v>
      </c>
      <c r="E3" s="2">
        <v>-4</v>
      </c>
      <c r="F3" s="2">
        <v>-5</v>
      </c>
      <c r="G3" s="2">
        <v>-4</v>
      </c>
      <c r="H3" s="2">
        <v>-3</v>
      </c>
      <c r="I3" s="2">
        <v>-2</v>
      </c>
      <c r="J3" s="2">
        <v>0</v>
      </c>
      <c r="K3" s="2">
        <v>0</v>
      </c>
      <c r="L3" s="2">
        <v>-2</v>
      </c>
      <c r="M3" s="2">
        <v>-3</v>
      </c>
      <c r="N3" s="2">
        <v>0</v>
      </c>
    </row>
    <row r="4" spans="1:14" x14ac:dyDescent="0.25">
      <c r="A4" s="2" t="s">
        <v>106</v>
      </c>
      <c r="B4" s="2">
        <v>0</v>
      </c>
      <c r="C4" s="2">
        <v>0</v>
      </c>
      <c r="D4" s="2">
        <v>0</v>
      </c>
      <c r="E4" s="2">
        <v>-2</v>
      </c>
      <c r="F4" s="2">
        <v>-5</v>
      </c>
      <c r="G4" s="2">
        <v>-3</v>
      </c>
      <c r="H4" s="2">
        <v>-3</v>
      </c>
      <c r="I4" s="2">
        <v>-2</v>
      </c>
      <c r="J4" s="2">
        <v>0</v>
      </c>
      <c r="K4" s="2">
        <v>0</v>
      </c>
      <c r="L4" s="2">
        <v>-2</v>
      </c>
      <c r="M4" s="2">
        <v>-3</v>
      </c>
      <c r="N4" s="2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4" max="4" width="14" customWidth="1"/>
  </cols>
  <sheetData>
    <row r="1" spans="1:4" x14ac:dyDescent="0.25">
      <c r="A1" s="9" t="s">
        <v>108</v>
      </c>
      <c r="B1" s="9" t="s">
        <v>335</v>
      </c>
      <c r="C1" s="9" t="s">
        <v>336</v>
      </c>
      <c r="D1" s="9" t="s">
        <v>25</v>
      </c>
    </row>
    <row r="2" spans="1:4" x14ac:dyDescent="0.25">
      <c r="A2" s="2" t="s">
        <v>35</v>
      </c>
      <c r="B2" s="2">
        <v>100</v>
      </c>
      <c r="C2" s="2">
        <v>100</v>
      </c>
      <c r="D2" s="2" t="s">
        <v>184</v>
      </c>
    </row>
    <row r="3" spans="1:4" x14ac:dyDescent="0.25">
      <c r="A3" s="2" t="s">
        <v>38</v>
      </c>
      <c r="B3" s="2">
        <v>100</v>
      </c>
      <c r="C3" s="2">
        <v>100</v>
      </c>
      <c r="D3" s="2" t="s">
        <v>184</v>
      </c>
    </row>
    <row r="4" spans="1:4" x14ac:dyDescent="0.25">
      <c r="A4" s="2" t="s">
        <v>337</v>
      </c>
      <c r="B4" s="2">
        <v>100</v>
      </c>
      <c r="C4" s="2">
        <v>100</v>
      </c>
      <c r="D4" s="2" t="s">
        <v>184</v>
      </c>
    </row>
    <row r="5" spans="1:4" x14ac:dyDescent="0.25">
      <c r="A5" s="2" t="s">
        <v>338</v>
      </c>
      <c r="B5" s="2">
        <v>100</v>
      </c>
      <c r="C5" s="2">
        <v>100</v>
      </c>
      <c r="D5" s="2" t="s">
        <v>184</v>
      </c>
    </row>
    <row r="6" spans="1:4" x14ac:dyDescent="0.25">
      <c r="A6" s="2" t="s">
        <v>339</v>
      </c>
      <c r="B6" s="2">
        <v>100</v>
      </c>
      <c r="C6" s="2">
        <v>100</v>
      </c>
      <c r="D6" s="2" t="s">
        <v>184</v>
      </c>
    </row>
    <row r="7" spans="1:4" x14ac:dyDescent="0.25">
      <c r="A7" s="2" t="s">
        <v>340</v>
      </c>
      <c r="B7" s="2">
        <v>100</v>
      </c>
      <c r="C7" s="2">
        <v>100</v>
      </c>
      <c r="D7" s="2" t="s">
        <v>184</v>
      </c>
    </row>
    <row r="8" spans="1:4" x14ac:dyDescent="0.25">
      <c r="A8" s="2" t="s">
        <v>341</v>
      </c>
      <c r="B8" s="2">
        <v>100</v>
      </c>
      <c r="C8" s="2">
        <v>100</v>
      </c>
      <c r="D8" s="2" t="s">
        <v>184</v>
      </c>
    </row>
    <row r="9" spans="1:4" x14ac:dyDescent="0.25">
      <c r="A9" s="2" t="s">
        <v>342</v>
      </c>
      <c r="B9" s="2">
        <v>100</v>
      </c>
      <c r="C9" s="2">
        <v>100</v>
      </c>
      <c r="D9" s="2" t="s">
        <v>184</v>
      </c>
    </row>
    <row r="10" spans="1:4" x14ac:dyDescent="0.25">
      <c r="A10" s="2" t="s">
        <v>343</v>
      </c>
      <c r="B10" s="2">
        <v>100</v>
      </c>
      <c r="C10" s="2">
        <v>100</v>
      </c>
      <c r="D10" s="2" t="s">
        <v>184</v>
      </c>
    </row>
    <row r="11" spans="1:4" x14ac:dyDescent="0.25">
      <c r="A11" s="2" t="s">
        <v>44</v>
      </c>
      <c r="B11" s="2">
        <v>100</v>
      </c>
      <c r="C11" s="2">
        <v>100</v>
      </c>
      <c r="D11" s="2" t="s">
        <v>184</v>
      </c>
    </row>
  </sheetData>
  <pageMargins left="0.7" right="0.7" top="0.75" bottom="0.75" header="0.3" footer="0.3"/>
  <pageSetup orientation="portrait" horizontalDpi="4294967295" verticalDpi="4294967295" scale="100" fitToWidth="1" fitToHeight="1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2" max="2" width="15" customWidth="1"/>
    <col min="3" max="3" width="16" customWidth="1"/>
    <col min="4" max="4" width="11" customWidth="1"/>
    <col min="5" max="5" width="40" customWidth="1"/>
    <col min="6" max="6" width="11" customWidth="1"/>
    <col min="7" max="16" width="8" customWidth="1"/>
  </cols>
  <sheetData>
    <row r="1" spans="1:16" x14ac:dyDescent="0.25">
      <c r="A1" s="9" t="s">
        <v>344</v>
      </c>
      <c r="B1" s="9" t="s">
        <v>345</v>
      </c>
      <c r="C1" s="9" t="s">
        <v>346</v>
      </c>
      <c r="D1" s="9" t="s">
        <v>347</v>
      </c>
      <c r="E1" s="9" t="s">
        <v>348</v>
      </c>
      <c r="F1" s="9" t="s">
        <v>349</v>
      </c>
      <c r="G1" s="9" t="s">
        <v>350</v>
      </c>
      <c r="H1" s="9" t="s">
        <v>351</v>
      </c>
      <c r="I1" s="9" t="s">
        <v>352</v>
      </c>
      <c r="J1" s="9" t="s">
        <v>353</v>
      </c>
      <c r="K1" s="9" t="s">
        <v>354</v>
      </c>
      <c r="L1" s="9" t="s">
        <v>355</v>
      </c>
      <c r="M1" s="9" t="s">
        <v>356</v>
      </c>
      <c r="N1" s="9" t="s">
        <v>357</v>
      </c>
      <c r="O1" s="9" t="s">
        <v>358</v>
      </c>
      <c r="P1" s="9" t="s">
        <v>359</v>
      </c>
    </row>
    <row r="2" spans="1:16" x14ac:dyDescent="0.25">
      <c r="A2" s="2" t="s">
        <v>360</v>
      </c>
      <c r="B2" s="2">
        <v>0</v>
      </c>
      <c r="C2" s="2">
        <v>0</v>
      </c>
      <c r="D2" s="2">
        <v>0</v>
      </c>
      <c r="E2" s="2" t="s">
        <v>1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</row>
    <row r="3" spans="1:16" x14ac:dyDescent="0.25">
      <c r="A3" s="2" t="s">
        <v>361</v>
      </c>
      <c r="B3" s="2">
        <v>0.356</v>
      </c>
      <c r="C3" s="2">
        <v>8</v>
      </c>
      <c r="D3" s="2">
        <v>8.36</v>
      </c>
      <c r="E3" s="2" t="s">
        <v>362</v>
      </c>
      <c r="F3" s="2">
        <v>0.59</v>
      </c>
      <c r="G3" s="2">
        <v>3.06</v>
      </c>
      <c r="H3" s="2">
        <v>0</v>
      </c>
      <c r="I3" s="2">
        <v>5.74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</row>
    <row r="4" spans="1:16" x14ac:dyDescent="0.25">
      <c r="A4" s="2" t="s">
        <v>363</v>
      </c>
      <c r="B4" s="2">
        <v>1.917</v>
      </c>
      <c r="C4" s="2">
        <v>5</v>
      </c>
      <c r="D4" s="2">
        <v>15.27</v>
      </c>
      <c r="E4" s="2" t="s">
        <v>364</v>
      </c>
      <c r="F4" s="2">
        <v>3.79</v>
      </c>
      <c r="G4" s="2">
        <v>6.23</v>
      </c>
      <c r="H4" s="2">
        <v>0</v>
      </c>
      <c r="I4" s="2">
        <v>10.82</v>
      </c>
      <c r="J4" s="2">
        <v>8.75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</row>
    <row r="5" spans="1:16" x14ac:dyDescent="0.25">
      <c r="A5" s="2" t="s">
        <v>365</v>
      </c>
      <c r="B5" s="2">
        <v>0.955</v>
      </c>
      <c r="C5" s="2">
        <v>0</v>
      </c>
      <c r="D5" s="2">
        <v>16.23</v>
      </c>
      <c r="E5" s="2" t="s">
        <v>1</v>
      </c>
      <c r="F5" s="2">
        <v>5.38</v>
      </c>
      <c r="G5" s="2">
        <v>9.3</v>
      </c>
      <c r="H5" s="2">
        <v>5.43</v>
      </c>
      <c r="I5" s="2">
        <v>15.15</v>
      </c>
      <c r="J5" s="2">
        <v>10.5</v>
      </c>
      <c r="K5" s="2">
        <v>0</v>
      </c>
      <c r="L5" s="2">
        <v>0</v>
      </c>
      <c r="M5" s="2">
        <v>0</v>
      </c>
      <c r="N5" s="2">
        <v>0</v>
      </c>
      <c r="O5" s="2">
        <v>0</v>
      </c>
      <c r="P5" s="2">
        <v>0</v>
      </c>
    </row>
    <row r="6" spans="1:16" x14ac:dyDescent="0.25">
      <c r="A6" s="2" t="s">
        <v>366</v>
      </c>
      <c r="B6" s="2">
        <v>1.08</v>
      </c>
      <c r="C6" s="2">
        <v>0</v>
      </c>
      <c r="D6" s="2">
        <v>17.31</v>
      </c>
      <c r="E6" s="2" t="s">
        <v>1</v>
      </c>
      <c r="F6" s="2">
        <v>7.18</v>
      </c>
      <c r="G6" s="2">
        <v>12.46</v>
      </c>
      <c r="H6" s="2">
        <v>11.15</v>
      </c>
      <c r="I6" s="2">
        <v>19.63</v>
      </c>
      <c r="J6" s="2">
        <v>12.79</v>
      </c>
      <c r="K6" s="2">
        <v>0</v>
      </c>
      <c r="L6" s="2">
        <v>0</v>
      </c>
      <c r="M6" s="2">
        <v>0</v>
      </c>
      <c r="N6" s="2">
        <v>0</v>
      </c>
      <c r="O6" s="2">
        <v>0</v>
      </c>
      <c r="P6" s="2">
        <v>0</v>
      </c>
    </row>
    <row r="7" spans="1:16" x14ac:dyDescent="0.25">
      <c r="A7" s="2" t="s">
        <v>367</v>
      </c>
      <c r="B7" s="2">
        <v>2.201</v>
      </c>
      <c r="C7" s="2">
        <v>0</v>
      </c>
      <c r="D7" s="2">
        <v>19.51</v>
      </c>
      <c r="E7" s="2" t="s">
        <v>1</v>
      </c>
      <c r="F7" s="2">
        <v>10.85</v>
      </c>
      <c r="G7" s="2">
        <v>15.53</v>
      </c>
      <c r="H7" s="2">
        <v>16.69</v>
      </c>
      <c r="I7" s="2">
        <v>23.97</v>
      </c>
      <c r="J7" s="2">
        <v>21.43</v>
      </c>
      <c r="K7" s="2">
        <v>0</v>
      </c>
      <c r="L7" s="2">
        <v>0</v>
      </c>
      <c r="M7" s="2">
        <v>0</v>
      </c>
      <c r="N7" s="2">
        <v>0</v>
      </c>
      <c r="O7" s="2">
        <v>0</v>
      </c>
      <c r="P7" s="2">
        <v>0</v>
      </c>
    </row>
    <row r="8" spans="1:16" x14ac:dyDescent="0.25">
      <c r="A8" s="2" t="s">
        <v>368</v>
      </c>
      <c r="B8" s="2">
        <v>1.604</v>
      </c>
      <c r="C8" s="2">
        <v>1</v>
      </c>
      <c r="D8" s="2">
        <v>22.11</v>
      </c>
      <c r="E8" s="2" t="s">
        <v>369</v>
      </c>
      <c r="F8" s="2">
        <v>13.52</v>
      </c>
      <c r="G8" s="2">
        <v>18.69</v>
      </c>
      <c r="H8" s="2">
        <v>22.42</v>
      </c>
      <c r="I8" s="2">
        <v>28.45</v>
      </c>
      <c r="J8" s="2">
        <v>26.58</v>
      </c>
      <c r="K8" s="2">
        <v>0</v>
      </c>
      <c r="L8" s="2">
        <v>0.78</v>
      </c>
      <c r="M8" s="2">
        <v>0</v>
      </c>
      <c r="N8" s="2">
        <v>0</v>
      </c>
      <c r="O8" s="2">
        <v>0</v>
      </c>
      <c r="P8" s="2">
        <v>0</v>
      </c>
    </row>
    <row r="9" spans="1:16" x14ac:dyDescent="0.25">
      <c r="A9" s="2" t="s">
        <v>370</v>
      </c>
      <c r="B9" s="2">
        <v>1.282</v>
      </c>
      <c r="C9" s="2">
        <v>0</v>
      </c>
      <c r="D9" s="2">
        <v>23.4</v>
      </c>
      <c r="E9" s="2" t="s">
        <v>1</v>
      </c>
      <c r="F9" s="2">
        <v>15.66</v>
      </c>
      <c r="G9" s="2">
        <v>21.86</v>
      </c>
      <c r="H9" s="2">
        <v>28.14</v>
      </c>
      <c r="I9" s="2">
        <v>32.93</v>
      </c>
      <c r="J9" s="2">
        <v>29.42</v>
      </c>
      <c r="K9" s="2">
        <v>1.11</v>
      </c>
      <c r="L9" s="2">
        <v>2.52</v>
      </c>
      <c r="M9" s="2">
        <v>0.09</v>
      </c>
      <c r="N9" s="2">
        <v>0</v>
      </c>
      <c r="O9" s="2">
        <v>0</v>
      </c>
      <c r="P9" s="2">
        <v>0</v>
      </c>
    </row>
    <row r="10" spans="1:16" x14ac:dyDescent="0.25">
      <c r="A10" s="2" t="s">
        <v>371</v>
      </c>
      <c r="B10" s="2">
        <v>1.304</v>
      </c>
      <c r="C10" s="2">
        <v>1</v>
      </c>
      <c r="D10" s="2">
        <v>25.7</v>
      </c>
      <c r="E10" s="2" t="s">
        <v>372</v>
      </c>
      <c r="F10" s="2">
        <v>17.83</v>
      </c>
      <c r="G10" s="2">
        <v>24.72</v>
      </c>
      <c r="H10" s="2">
        <v>32.24</v>
      </c>
      <c r="I10" s="2">
        <v>37.37</v>
      </c>
      <c r="J10" s="2">
        <v>29.78</v>
      </c>
      <c r="K10" s="2">
        <v>8.89</v>
      </c>
      <c r="L10" s="2">
        <v>4.08</v>
      </c>
      <c r="M10" s="2">
        <v>1.3</v>
      </c>
      <c r="N10" s="2">
        <v>0</v>
      </c>
      <c r="O10" s="2">
        <v>0</v>
      </c>
      <c r="P10" s="2">
        <v>0</v>
      </c>
    </row>
    <row r="11" spans="1:16" x14ac:dyDescent="0.25">
      <c r="A11" s="2" t="s">
        <v>373</v>
      </c>
      <c r="B11" s="2">
        <v>3.504</v>
      </c>
      <c r="C11" s="2">
        <v>0</v>
      </c>
      <c r="D11" s="2">
        <v>29.2</v>
      </c>
      <c r="E11" s="2" t="s">
        <v>1</v>
      </c>
      <c r="F11" s="2">
        <v>23.67</v>
      </c>
      <c r="G11" s="2">
        <v>27.89</v>
      </c>
      <c r="H11" s="2">
        <v>35.59</v>
      </c>
      <c r="I11" s="2">
        <v>45.41</v>
      </c>
      <c r="J11" s="2">
        <v>42.44</v>
      </c>
      <c r="K11" s="2">
        <v>14.67</v>
      </c>
      <c r="L11" s="2">
        <v>5.81</v>
      </c>
      <c r="M11" s="2">
        <v>2.63</v>
      </c>
      <c r="N11" s="2">
        <v>0</v>
      </c>
      <c r="O11" s="2">
        <v>0</v>
      </c>
      <c r="P11" s="2">
        <v>0</v>
      </c>
    </row>
    <row r="12" spans="1:16" x14ac:dyDescent="0.25">
      <c r="A12" s="2" t="s">
        <v>374</v>
      </c>
      <c r="B12" s="2">
        <v>2.12</v>
      </c>
      <c r="C12" s="2">
        <v>0</v>
      </c>
      <c r="D12" s="2">
        <v>31.32</v>
      </c>
      <c r="E12" s="2" t="s">
        <v>1</v>
      </c>
      <c r="F12" s="2">
        <v>27.21</v>
      </c>
      <c r="G12" s="2">
        <v>30.95</v>
      </c>
      <c r="H12" s="2">
        <v>38.83</v>
      </c>
      <c r="I12" s="2">
        <v>53.45</v>
      </c>
      <c r="J12" s="2">
        <v>47.03</v>
      </c>
      <c r="K12" s="2">
        <v>21.95</v>
      </c>
      <c r="L12" s="2">
        <v>7.49</v>
      </c>
      <c r="M12" s="2">
        <v>3.93</v>
      </c>
      <c r="N12" s="2">
        <v>0</v>
      </c>
      <c r="O12" s="2">
        <v>0</v>
      </c>
      <c r="P12" s="2">
        <v>0</v>
      </c>
    </row>
    <row r="13" spans="1:16" x14ac:dyDescent="0.25">
      <c r="A13" s="2" t="s">
        <v>375</v>
      </c>
      <c r="B13" s="2">
        <v>2.253</v>
      </c>
      <c r="C13" s="2">
        <v>0</v>
      </c>
      <c r="D13" s="2">
        <v>33.58</v>
      </c>
      <c r="E13" s="2" t="s">
        <v>1</v>
      </c>
      <c r="F13" s="2">
        <v>30.96</v>
      </c>
      <c r="G13" s="2">
        <v>34.12</v>
      </c>
      <c r="H13" s="2">
        <v>42.18</v>
      </c>
      <c r="I13" s="2">
        <v>61.75</v>
      </c>
      <c r="J13" s="2">
        <v>48.21</v>
      </c>
      <c r="K13" s="2">
        <v>41.19</v>
      </c>
      <c r="L13" s="2">
        <v>9.38</v>
      </c>
      <c r="M13" s="2">
        <v>5.27</v>
      </c>
      <c r="N13" s="2">
        <v>0</v>
      </c>
      <c r="O13" s="2">
        <v>0</v>
      </c>
      <c r="P13" s="2">
        <v>0</v>
      </c>
    </row>
    <row r="14" spans="1:16" x14ac:dyDescent="0.25">
      <c r="A14" s="2" t="s">
        <v>376</v>
      </c>
      <c r="B14" s="2">
        <v>2.145</v>
      </c>
      <c r="C14" s="2">
        <v>1</v>
      </c>
      <c r="D14" s="2">
        <v>36.72</v>
      </c>
      <c r="E14" s="2" t="s">
        <v>377</v>
      </c>
      <c r="F14" s="2">
        <v>34.54</v>
      </c>
      <c r="G14" s="2">
        <v>37.18</v>
      </c>
      <c r="H14" s="2">
        <v>45.43</v>
      </c>
      <c r="I14" s="2">
        <v>69.79</v>
      </c>
      <c r="J14" s="2">
        <v>49.08</v>
      </c>
      <c r="K14" s="2">
        <v>59.8</v>
      </c>
      <c r="L14" s="2">
        <v>12.2</v>
      </c>
      <c r="M14" s="2">
        <v>6.57</v>
      </c>
      <c r="N14" s="2">
        <v>0</v>
      </c>
      <c r="O14" s="2">
        <v>0</v>
      </c>
      <c r="P14" s="2">
        <v>0</v>
      </c>
    </row>
    <row r="15" spans="1:16" x14ac:dyDescent="0.25">
      <c r="A15" s="2" t="s">
        <v>378</v>
      </c>
      <c r="B15" s="2">
        <v>5.743</v>
      </c>
      <c r="C15" s="2">
        <v>3</v>
      </c>
      <c r="D15" s="2">
        <v>45.46</v>
      </c>
      <c r="E15" s="2" t="s">
        <v>379</v>
      </c>
      <c r="F15" s="2">
        <v>44.11</v>
      </c>
      <c r="G15" s="2">
        <v>40.35</v>
      </c>
      <c r="H15" s="2">
        <v>47.98</v>
      </c>
      <c r="I15" s="2">
        <v>75.58</v>
      </c>
      <c r="J15" s="2">
        <v>63.27</v>
      </c>
      <c r="K15" s="2">
        <v>79.03</v>
      </c>
      <c r="L15" s="2">
        <v>18.28</v>
      </c>
      <c r="M15" s="2">
        <v>15.16</v>
      </c>
      <c r="N15" s="2">
        <v>0</v>
      </c>
      <c r="O15" s="2">
        <v>0</v>
      </c>
      <c r="P15" s="2">
        <v>0</v>
      </c>
    </row>
    <row r="16" spans="1:16" x14ac:dyDescent="0.25">
      <c r="A16" s="2" t="s">
        <v>380</v>
      </c>
      <c r="B16" s="2">
        <v>4.281</v>
      </c>
      <c r="C16" s="2">
        <v>0</v>
      </c>
      <c r="D16" s="2">
        <v>49.75</v>
      </c>
      <c r="E16" s="2" t="s">
        <v>1</v>
      </c>
      <c r="F16" s="2">
        <v>51.24</v>
      </c>
      <c r="G16" s="2">
        <v>43.51</v>
      </c>
      <c r="H16" s="2">
        <v>50.51</v>
      </c>
      <c r="I16" s="2">
        <v>81.07</v>
      </c>
      <c r="J16" s="2">
        <v>72.94</v>
      </c>
      <c r="K16" s="2">
        <v>86.94</v>
      </c>
      <c r="L16" s="2">
        <v>24.46</v>
      </c>
      <c r="M16" s="2">
        <v>24</v>
      </c>
      <c r="N16" s="2">
        <v>0</v>
      </c>
      <c r="O16" s="2">
        <v>0</v>
      </c>
      <c r="P16" s="2">
        <v>0</v>
      </c>
    </row>
    <row r="17" spans="1:16" x14ac:dyDescent="0.25">
      <c r="A17" s="2" t="s">
        <v>381</v>
      </c>
      <c r="B17" s="2">
        <v>3.023</v>
      </c>
      <c r="C17" s="2">
        <v>0</v>
      </c>
      <c r="D17" s="2">
        <v>52.77</v>
      </c>
      <c r="E17" s="2" t="s">
        <v>1</v>
      </c>
      <c r="F17" s="2">
        <v>56.28</v>
      </c>
      <c r="G17" s="2">
        <v>46.58</v>
      </c>
      <c r="H17" s="2">
        <v>52.96</v>
      </c>
      <c r="I17" s="2">
        <v>82.93</v>
      </c>
      <c r="J17" s="2">
        <v>77.04</v>
      </c>
      <c r="K17" s="2">
        <v>93.43</v>
      </c>
      <c r="L17" s="2">
        <v>30.45</v>
      </c>
      <c r="M17" s="2">
        <v>32.56</v>
      </c>
      <c r="N17" s="2">
        <v>0</v>
      </c>
      <c r="O17" s="2">
        <v>0</v>
      </c>
      <c r="P17" s="2">
        <v>0</v>
      </c>
    </row>
    <row r="18" spans="1:16" x14ac:dyDescent="0.25">
      <c r="A18" s="2" t="s">
        <v>382</v>
      </c>
      <c r="B18" s="2">
        <v>3.758</v>
      </c>
      <c r="C18" s="2">
        <v>0</v>
      </c>
      <c r="D18" s="2">
        <v>56.53</v>
      </c>
      <c r="E18" s="2" t="s">
        <v>1</v>
      </c>
      <c r="F18" s="2">
        <v>62.54</v>
      </c>
      <c r="G18" s="2">
        <v>49.74</v>
      </c>
      <c r="H18" s="2">
        <v>55.49</v>
      </c>
      <c r="I18" s="2">
        <v>84.68</v>
      </c>
      <c r="J18" s="2">
        <v>84.88</v>
      </c>
      <c r="K18" s="2">
        <v>100</v>
      </c>
      <c r="L18" s="2">
        <v>36.63</v>
      </c>
      <c r="M18" s="2">
        <v>41.4</v>
      </c>
      <c r="N18" s="2">
        <v>0</v>
      </c>
      <c r="O18" s="2">
        <v>0</v>
      </c>
      <c r="P18" s="2">
        <v>0</v>
      </c>
    </row>
    <row r="19" spans="1:16" x14ac:dyDescent="0.25">
      <c r="A19" s="2" t="s">
        <v>383</v>
      </c>
      <c r="B19" s="2">
        <v>3.077</v>
      </c>
      <c r="C19" s="2">
        <v>0</v>
      </c>
      <c r="D19" s="2">
        <v>59.6</v>
      </c>
      <c r="E19" s="2" t="s">
        <v>1</v>
      </c>
      <c r="F19" s="2">
        <v>67.67</v>
      </c>
      <c r="G19" s="2">
        <v>52.81</v>
      </c>
      <c r="H19" s="2">
        <v>57.93</v>
      </c>
      <c r="I19" s="2">
        <v>86.37</v>
      </c>
      <c r="J19" s="2">
        <v>91.47</v>
      </c>
      <c r="K19" s="2">
        <v>100</v>
      </c>
      <c r="L19" s="2">
        <v>42.61</v>
      </c>
      <c r="M19" s="2">
        <v>49.95</v>
      </c>
      <c r="N19" s="2">
        <v>0</v>
      </c>
      <c r="O19" s="2">
        <v>0</v>
      </c>
      <c r="P19" s="2">
        <v>0</v>
      </c>
    </row>
    <row r="20" spans="1:16" x14ac:dyDescent="0.25">
      <c r="A20" s="2" t="s">
        <v>384</v>
      </c>
      <c r="B20" s="2">
        <v>2.386</v>
      </c>
      <c r="C20" s="2">
        <v>3</v>
      </c>
      <c r="D20" s="2">
        <v>64.99</v>
      </c>
      <c r="E20" s="2" t="s">
        <v>385</v>
      </c>
      <c r="F20" s="2">
        <v>71.65</v>
      </c>
      <c r="G20" s="2">
        <v>55.98</v>
      </c>
      <c r="H20" s="2">
        <v>60.46</v>
      </c>
      <c r="I20" s="2">
        <v>88.11</v>
      </c>
      <c r="J20" s="2">
        <v>93.88</v>
      </c>
      <c r="K20" s="2">
        <v>100</v>
      </c>
      <c r="L20" s="2">
        <v>48.8</v>
      </c>
      <c r="M20" s="2">
        <v>58.79</v>
      </c>
      <c r="N20" s="2">
        <v>0</v>
      </c>
      <c r="O20" s="2">
        <v>0</v>
      </c>
      <c r="P20" s="2">
        <v>0</v>
      </c>
    </row>
    <row r="21" spans="1:16" x14ac:dyDescent="0.25">
      <c r="A21" s="2" t="s">
        <v>386</v>
      </c>
      <c r="B21" s="2">
        <v>2.347</v>
      </c>
      <c r="C21" s="2">
        <v>1.5</v>
      </c>
      <c r="D21" s="2">
        <v>68.84</v>
      </c>
      <c r="E21" s="2" t="s">
        <v>387</v>
      </c>
      <c r="F21" s="2">
        <v>75.56</v>
      </c>
      <c r="G21" s="2">
        <v>59.14</v>
      </c>
      <c r="H21" s="2">
        <v>62.99</v>
      </c>
      <c r="I21" s="2">
        <v>89.86</v>
      </c>
      <c r="J21" s="2">
        <v>96.06</v>
      </c>
      <c r="K21" s="2">
        <v>100</v>
      </c>
      <c r="L21" s="2">
        <v>54.98</v>
      </c>
      <c r="M21" s="2">
        <v>67.63</v>
      </c>
      <c r="N21" s="2">
        <v>0</v>
      </c>
      <c r="O21" s="2">
        <v>0</v>
      </c>
      <c r="P21" s="2">
        <v>0</v>
      </c>
    </row>
    <row r="22" spans="1:16" x14ac:dyDescent="0.25">
      <c r="A22" s="2" t="s">
        <v>388</v>
      </c>
      <c r="B22" s="2">
        <v>2.063</v>
      </c>
      <c r="C22" s="2">
        <v>0</v>
      </c>
      <c r="D22" s="2">
        <v>70.9</v>
      </c>
      <c r="E22" s="2" t="s">
        <v>1</v>
      </c>
      <c r="F22" s="2">
        <v>79</v>
      </c>
      <c r="G22" s="2">
        <v>62.1</v>
      </c>
      <c r="H22" s="2">
        <v>65.36</v>
      </c>
      <c r="I22" s="2">
        <v>91.49</v>
      </c>
      <c r="J22" s="2">
        <v>97.38</v>
      </c>
      <c r="K22" s="2">
        <v>100</v>
      </c>
      <c r="L22" s="2">
        <v>60.77</v>
      </c>
      <c r="M22" s="2">
        <v>75.9</v>
      </c>
      <c r="N22" s="2">
        <v>0</v>
      </c>
      <c r="O22" s="2">
        <v>0</v>
      </c>
      <c r="P22" s="2">
        <v>0</v>
      </c>
    </row>
    <row r="23" spans="1:16" x14ac:dyDescent="0.25">
      <c r="A23" s="2" t="s">
        <v>389</v>
      </c>
      <c r="B23" s="2">
        <v>2.42</v>
      </c>
      <c r="C23" s="2">
        <v>0</v>
      </c>
      <c r="D23" s="2">
        <v>73.32</v>
      </c>
      <c r="E23" s="2" t="s">
        <v>1</v>
      </c>
      <c r="F23" s="2">
        <v>83.03</v>
      </c>
      <c r="G23" s="2">
        <v>65.27</v>
      </c>
      <c r="H23" s="2">
        <v>67.89</v>
      </c>
      <c r="I23" s="2">
        <v>93.06</v>
      </c>
      <c r="J23" s="2">
        <v>100</v>
      </c>
      <c r="K23" s="2">
        <v>100</v>
      </c>
      <c r="L23" s="2">
        <v>66.95</v>
      </c>
      <c r="M23" s="2">
        <v>84.74</v>
      </c>
      <c r="N23" s="2">
        <v>0</v>
      </c>
      <c r="O23" s="2">
        <v>0</v>
      </c>
      <c r="P23" s="2">
        <v>0</v>
      </c>
    </row>
    <row r="24" spans="1:16" x14ac:dyDescent="0.25">
      <c r="A24" s="2" t="s">
        <v>390</v>
      </c>
      <c r="B24" s="2">
        <v>1.915</v>
      </c>
      <c r="C24" s="2">
        <v>0</v>
      </c>
      <c r="D24" s="2">
        <v>75.24</v>
      </c>
      <c r="E24" s="2" t="s">
        <v>1</v>
      </c>
      <c r="F24" s="2">
        <v>86.23</v>
      </c>
      <c r="G24" s="2">
        <v>68.34</v>
      </c>
      <c r="H24" s="2">
        <v>70.33</v>
      </c>
      <c r="I24" s="2">
        <v>93.67</v>
      </c>
      <c r="J24" s="2">
        <v>100</v>
      </c>
      <c r="K24" s="2">
        <v>100</v>
      </c>
      <c r="L24" s="2">
        <v>72.94</v>
      </c>
      <c r="M24" s="2">
        <v>93.29</v>
      </c>
      <c r="N24" s="2">
        <v>3.19</v>
      </c>
      <c r="O24" s="2">
        <v>0</v>
      </c>
      <c r="P24" s="2">
        <v>0</v>
      </c>
    </row>
    <row r="25" spans="1:16" x14ac:dyDescent="0.25">
      <c r="A25" s="2" t="s">
        <v>391</v>
      </c>
      <c r="B25" s="2">
        <v>1.899</v>
      </c>
      <c r="C25" s="2">
        <v>3.5</v>
      </c>
      <c r="D25" s="2">
        <v>80.64</v>
      </c>
      <c r="E25" s="2" t="s">
        <v>392</v>
      </c>
      <c r="F25" s="2">
        <v>89.39</v>
      </c>
      <c r="G25" s="2">
        <v>71.5</v>
      </c>
      <c r="H25" s="2">
        <v>72.86</v>
      </c>
      <c r="I25" s="2">
        <v>94.3</v>
      </c>
      <c r="J25" s="2">
        <v>100</v>
      </c>
      <c r="K25" s="2">
        <v>100</v>
      </c>
      <c r="L25" s="2">
        <v>77.51</v>
      </c>
      <c r="M25" s="2">
        <v>100</v>
      </c>
      <c r="N25" s="2">
        <v>23</v>
      </c>
      <c r="O25" s="2">
        <v>0</v>
      </c>
      <c r="P25" s="2">
        <v>0</v>
      </c>
    </row>
    <row r="26" spans="1:16" x14ac:dyDescent="0.25">
      <c r="A26" s="2" t="s">
        <v>393</v>
      </c>
      <c r="B26" s="2">
        <v>0.743</v>
      </c>
      <c r="C26" s="2">
        <v>0</v>
      </c>
      <c r="D26" s="2">
        <v>81.38</v>
      </c>
      <c r="E26" s="2" t="s">
        <v>1</v>
      </c>
      <c r="F26" s="2">
        <v>90.63</v>
      </c>
      <c r="G26" s="2">
        <v>74.57</v>
      </c>
      <c r="H26" s="2">
        <v>75.31</v>
      </c>
      <c r="I26" s="2">
        <v>94.91</v>
      </c>
      <c r="J26" s="2">
        <v>100</v>
      </c>
      <c r="K26" s="2">
        <v>100</v>
      </c>
      <c r="L26" s="2">
        <v>81.56</v>
      </c>
      <c r="M26" s="2">
        <v>100</v>
      </c>
      <c r="N26" s="2">
        <v>42.17</v>
      </c>
      <c r="O26" s="2">
        <v>0</v>
      </c>
      <c r="P26" s="2">
        <v>0</v>
      </c>
    </row>
    <row r="27" spans="1:16" x14ac:dyDescent="0.25">
      <c r="A27" s="2" t="s">
        <v>394</v>
      </c>
      <c r="B27" s="2">
        <v>0.752</v>
      </c>
      <c r="C27" s="2">
        <v>3</v>
      </c>
      <c r="D27" s="2">
        <v>85.13</v>
      </c>
      <c r="E27" s="2" t="s">
        <v>395</v>
      </c>
      <c r="F27" s="2">
        <v>91.88</v>
      </c>
      <c r="G27" s="2">
        <v>77.73</v>
      </c>
      <c r="H27" s="2">
        <v>77.84</v>
      </c>
      <c r="I27" s="2">
        <v>95.55</v>
      </c>
      <c r="J27" s="2">
        <v>100</v>
      </c>
      <c r="K27" s="2">
        <v>100</v>
      </c>
      <c r="L27" s="2">
        <v>85.74</v>
      </c>
      <c r="M27" s="2">
        <v>100</v>
      </c>
      <c r="N27" s="2">
        <v>52.14</v>
      </c>
      <c r="O27" s="2">
        <v>26.88</v>
      </c>
      <c r="P27" s="2">
        <v>0</v>
      </c>
    </row>
    <row r="28" spans="1:16" x14ac:dyDescent="0.25">
      <c r="A28" s="2" t="s">
        <v>396</v>
      </c>
      <c r="B28" s="2">
        <v>0.948</v>
      </c>
      <c r="C28" s="2">
        <v>0</v>
      </c>
      <c r="D28" s="2">
        <v>86.08</v>
      </c>
      <c r="E28" s="2" t="s">
        <v>1</v>
      </c>
      <c r="F28" s="2">
        <v>93.46</v>
      </c>
      <c r="G28" s="2">
        <v>80.9</v>
      </c>
      <c r="H28" s="2">
        <v>80.37</v>
      </c>
      <c r="I28" s="2">
        <v>96.18</v>
      </c>
      <c r="J28" s="2">
        <v>100</v>
      </c>
      <c r="K28" s="2">
        <v>100</v>
      </c>
      <c r="L28" s="2">
        <v>89.92</v>
      </c>
      <c r="M28" s="2">
        <v>100</v>
      </c>
      <c r="N28" s="2">
        <v>59.76</v>
      </c>
      <c r="O28" s="2">
        <v>60.22</v>
      </c>
      <c r="P28" s="2">
        <v>33.33</v>
      </c>
    </row>
    <row r="29" spans="1:16" x14ac:dyDescent="0.25">
      <c r="A29" s="2" t="s">
        <v>397</v>
      </c>
      <c r="B29" s="2">
        <v>0.917</v>
      </c>
      <c r="C29" s="2">
        <v>0</v>
      </c>
      <c r="D29" s="2">
        <v>86.99</v>
      </c>
      <c r="E29" s="2" t="s">
        <v>1</v>
      </c>
      <c r="F29" s="2">
        <v>94.99</v>
      </c>
      <c r="G29" s="2">
        <v>83.96</v>
      </c>
      <c r="H29" s="2">
        <v>82.81</v>
      </c>
      <c r="I29" s="2">
        <v>96.79</v>
      </c>
      <c r="J29" s="2">
        <v>100</v>
      </c>
      <c r="K29" s="2">
        <v>100</v>
      </c>
      <c r="L29" s="2">
        <v>93.97</v>
      </c>
      <c r="M29" s="2">
        <v>100</v>
      </c>
      <c r="N29" s="2">
        <v>67.14</v>
      </c>
      <c r="O29" s="2">
        <v>92.47</v>
      </c>
      <c r="P29" s="2">
        <v>65.59</v>
      </c>
    </row>
    <row r="30" spans="1:16" x14ac:dyDescent="0.25">
      <c r="A30" s="2" t="s">
        <v>398</v>
      </c>
      <c r="B30" s="2">
        <v>0.793</v>
      </c>
      <c r="C30" s="2">
        <v>0</v>
      </c>
      <c r="D30" s="2">
        <v>87.79</v>
      </c>
      <c r="E30" s="2" t="s">
        <v>1</v>
      </c>
      <c r="F30" s="2">
        <v>96.31</v>
      </c>
      <c r="G30" s="2">
        <v>87.13</v>
      </c>
      <c r="H30" s="2">
        <v>85.34</v>
      </c>
      <c r="I30" s="2">
        <v>97.43</v>
      </c>
      <c r="J30" s="2">
        <v>100</v>
      </c>
      <c r="K30" s="2">
        <v>100</v>
      </c>
      <c r="L30" s="2">
        <v>98.16</v>
      </c>
      <c r="M30" s="2">
        <v>100</v>
      </c>
      <c r="N30" s="2">
        <v>74.75</v>
      </c>
      <c r="O30" s="2">
        <v>100</v>
      </c>
      <c r="P30" s="2">
        <v>98.92</v>
      </c>
    </row>
    <row r="31" spans="1:16" x14ac:dyDescent="0.25">
      <c r="A31" s="2" t="s">
        <v>399</v>
      </c>
      <c r="B31" s="2">
        <v>0.575</v>
      </c>
      <c r="C31" s="2">
        <v>5</v>
      </c>
      <c r="D31" s="2">
        <v>93.36</v>
      </c>
      <c r="E31" s="2" t="s">
        <v>400</v>
      </c>
      <c r="F31" s="2">
        <v>97.27</v>
      </c>
      <c r="G31" s="2">
        <v>90.19</v>
      </c>
      <c r="H31" s="2">
        <v>87.79</v>
      </c>
      <c r="I31" s="2">
        <v>98.04</v>
      </c>
      <c r="J31" s="2">
        <v>100</v>
      </c>
      <c r="K31" s="2">
        <v>100</v>
      </c>
      <c r="L31" s="2">
        <v>99.07</v>
      </c>
      <c r="M31" s="2">
        <v>100</v>
      </c>
      <c r="N31" s="2">
        <v>86.33</v>
      </c>
      <c r="O31" s="2">
        <v>100</v>
      </c>
      <c r="P31" s="2">
        <v>100</v>
      </c>
    </row>
    <row r="32" spans="1:16" x14ac:dyDescent="0.25">
      <c r="A32" s="2" t="s">
        <v>401</v>
      </c>
      <c r="B32" s="2">
        <v>0.589</v>
      </c>
      <c r="C32" s="2">
        <v>0</v>
      </c>
      <c r="D32" s="2">
        <v>93.95</v>
      </c>
      <c r="E32" s="2" t="s">
        <v>1</v>
      </c>
      <c r="F32" s="2">
        <v>98.25</v>
      </c>
      <c r="G32" s="2">
        <v>93.36</v>
      </c>
      <c r="H32" s="2">
        <v>90.32</v>
      </c>
      <c r="I32" s="2">
        <v>98.67</v>
      </c>
      <c r="J32" s="2">
        <v>100</v>
      </c>
      <c r="K32" s="2">
        <v>100</v>
      </c>
      <c r="L32" s="2">
        <v>99.89</v>
      </c>
      <c r="M32" s="2">
        <v>100</v>
      </c>
      <c r="N32" s="2">
        <v>98.44</v>
      </c>
      <c r="O32" s="2">
        <v>100</v>
      </c>
      <c r="P32" s="2">
        <v>100</v>
      </c>
    </row>
    <row r="33" spans="1:16" x14ac:dyDescent="0.25">
      <c r="A33" s="2" t="s">
        <v>402</v>
      </c>
      <c r="B33" s="2">
        <v>0.506</v>
      </c>
      <c r="C33" s="2">
        <v>5</v>
      </c>
      <c r="D33" s="2">
        <v>99.46</v>
      </c>
      <c r="E33" s="2" t="s">
        <v>403</v>
      </c>
      <c r="F33" s="2">
        <v>99.1</v>
      </c>
      <c r="G33" s="2">
        <v>96.53</v>
      </c>
      <c r="H33" s="2">
        <v>94.79</v>
      </c>
      <c r="I33" s="2">
        <v>99.31</v>
      </c>
      <c r="J33" s="2">
        <v>100</v>
      </c>
      <c r="K33" s="2">
        <v>100</v>
      </c>
      <c r="L33" s="2">
        <v>100</v>
      </c>
      <c r="M33" s="2">
        <v>100</v>
      </c>
      <c r="N33" s="2">
        <v>100</v>
      </c>
      <c r="O33" s="2">
        <v>100</v>
      </c>
      <c r="P33" s="2">
        <v>100</v>
      </c>
    </row>
    <row r="34" spans="1:16" x14ac:dyDescent="0.25">
      <c r="A34" s="2" t="s">
        <v>404</v>
      </c>
      <c r="B34" s="2">
        <v>0.446</v>
      </c>
      <c r="C34" s="2">
        <v>0</v>
      </c>
      <c r="D34" s="2">
        <v>99.9</v>
      </c>
      <c r="E34" s="2" t="s">
        <v>1</v>
      </c>
      <c r="F34" s="2">
        <v>99.84</v>
      </c>
      <c r="G34" s="2">
        <v>99.39</v>
      </c>
      <c r="H34" s="2">
        <v>99.08</v>
      </c>
      <c r="I34" s="2">
        <v>99.88</v>
      </c>
      <c r="J34" s="2">
        <v>100</v>
      </c>
      <c r="K34" s="2">
        <v>100</v>
      </c>
      <c r="L34" s="2">
        <v>100</v>
      </c>
      <c r="M34" s="2">
        <v>100</v>
      </c>
      <c r="N34" s="2">
        <v>100</v>
      </c>
      <c r="O34" s="2">
        <v>100</v>
      </c>
      <c r="P34" s="2">
        <v>100</v>
      </c>
    </row>
    <row r="35" spans="1:16" x14ac:dyDescent="0.25">
      <c r="A35" s="2" t="s">
        <v>405</v>
      </c>
      <c r="B35" s="2">
        <v>0.096</v>
      </c>
      <c r="C35" s="2">
        <v>0</v>
      </c>
      <c r="D35" s="2">
        <v>100</v>
      </c>
      <c r="E35" s="2" t="s">
        <v>1</v>
      </c>
      <c r="F35" s="2">
        <v>100</v>
      </c>
      <c r="G35" s="2">
        <v>100</v>
      </c>
      <c r="H35" s="2">
        <v>100</v>
      </c>
      <c r="I35" s="2">
        <v>100</v>
      </c>
      <c r="J35" s="2">
        <v>100</v>
      </c>
      <c r="K35" s="2">
        <v>100</v>
      </c>
      <c r="L35" s="2">
        <v>100</v>
      </c>
      <c r="M35" s="2">
        <v>100</v>
      </c>
      <c r="N35" s="2">
        <v>100</v>
      </c>
      <c r="O35" s="2">
        <v>100</v>
      </c>
      <c r="P35" s="2">
        <v>100</v>
      </c>
    </row>
    <row r="36" spans="1:16" x14ac:dyDescent="0.25">
      <c r="A36" s="2" t="s">
        <v>406</v>
      </c>
      <c r="B36" s="2">
        <v>0</v>
      </c>
      <c r="C36" s="2">
        <v>0</v>
      </c>
      <c r="D36" s="2">
        <v>100</v>
      </c>
      <c r="E36" s="2" t="s">
        <v>1</v>
      </c>
      <c r="F36" s="2">
        <v>100</v>
      </c>
      <c r="G36" s="2">
        <v>100</v>
      </c>
      <c r="H36" s="2">
        <v>100</v>
      </c>
      <c r="I36" s="2">
        <v>100</v>
      </c>
      <c r="J36" s="2">
        <v>100</v>
      </c>
      <c r="K36" s="2">
        <v>100</v>
      </c>
      <c r="L36" s="2">
        <v>100</v>
      </c>
      <c r="M36" s="2">
        <v>100</v>
      </c>
      <c r="N36" s="2">
        <v>100</v>
      </c>
      <c r="O36" s="2">
        <v>100</v>
      </c>
      <c r="P36" s="2">
        <v>100</v>
      </c>
    </row>
    <row r="37" spans="1:16" x14ac:dyDescent="0.25">
      <c r="A37" s="2" t="s">
        <v>407</v>
      </c>
      <c r="B37" s="2">
        <v>0</v>
      </c>
      <c r="C37" s="2">
        <v>0</v>
      </c>
      <c r="D37" s="2">
        <v>100</v>
      </c>
      <c r="E37" s="2" t="s">
        <v>1</v>
      </c>
      <c r="F37" s="2">
        <v>100</v>
      </c>
      <c r="G37" s="2">
        <v>100</v>
      </c>
      <c r="H37" s="2">
        <v>100</v>
      </c>
      <c r="I37" s="2">
        <v>100</v>
      </c>
      <c r="J37" s="2">
        <v>100</v>
      </c>
      <c r="K37" s="2">
        <v>100</v>
      </c>
      <c r="L37" s="2">
        <v>100</v>
      </c>
      <c r="M37" s="2">
        <v>100</v>
      </c>
      <c r="N37" s="2">
        <v>100</v>
      </c>
      <c r="O37" s="2">
        <v>100</v>
      </c>
      <c r="P37" s="2">
        <v>100</v>
      </c>
    </row>
  </sheetData>
  <pageMargins left="0.7" right="0.7" top="0.75" bottom="0.75" header="0.3" footer="0.3"/>
  <pageSetup orientation="portrait" horizontalDpi="4294967295" verticalDpi="4294967295" scale="100" fitToWidth="1" fitToHeight="1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40" customWidth="1"/>
  </cols>
  <sheetData>
    <row r="1" spans="1:3" x14ac:dyDescent="0.25">
      <c r="A1" s="9" t="s">
        <v>408</v>
      </c>
      <c r="B1" s="9" t="s">
        <v>108</v>
      </c>
      <c r="C1" s="9" t="s">
        <v>409</v>
      </c>
    </row>
    <row r="2" spans="1:3" x14ac:dyDescent="0.25">
      <c r="A2" s="2" t="s">
        <v>350</v>
      </c>
      <c r="B2" s="2" t="s">
        <v>410</v>
      </c>
      <c r="C2" s="2">
        <v>10</v>
      </c>
    </row>
    <row r="3" spans="1:3" x14ac:dyDescent="0.25">
      <c r="A3" s="2" t="s">
        <v>351</v>
      </c>
      <c r="B3" s="2" t="s">
        <v>411</v>
      </c>
      <c r="C3" s="2">
        <v>10</v>
      </c>
    </row>
    <row r="4" spans="1:3" x14ac:dyDescent="0.25">
      <c r="A4" s="2" t="s">
        <v>352</v>
      </c>
      <c r="B4" s="2" t="s">
        <v>412</v>
      </c>
      <c r="C4" s="2">
        <v>5</v>
      </c>
    </row>
    <row r="5" spans="1:3" x14ac:dyDescent="0.25">
      <c r="A5" s="2" t="s">
        <v>353</v>
      </c>
      <c r="B5" s="2" t="s">
        <v>413</v>
      </c>
      <c r="C5" s="2">
        <v>30</v>
      </c>
    </row>
    <row r="6" spans="1:3" x14ac:dyDescent="0.25">
      <c r="A6" s="2" t="s">
        <v>354</v>
      </c>
      <c r="B6" s="2" t="s">
        <v>414</v>
      </c>
      <c r="C6" s="2">
        <v>10</v>
      </c>
    </row>
    <row r="7" spans="1:3" x14ac:dyDescent="0.25">
      <c r="A7" s="2" t="s">
        <v>355</v>
      </c>
      <c r="B7" s="2" t="s">
        <v>415</v>
      </c>
      <c r="C7" s="2">
        <v>2</v>
      </c>
    </row>
    <row r="8" spans="1:3" x14ac:dyDescent="0.25">
      <c r="A8" s="2" t="s">
        <v>356</v>
      </c>
      <c r="B8" s="2" t="s">
        <v>416</v>
      </c>
      <c r="C8" s="2">
        <v>28</v>
      </c>
    </row>
    <row r="9" spans="1:3" x14ac:dyDescent="0.25">
      <c r="A9" s="2" t="s">
        <v>357</v>
      </c>
      <c r="B9" s="2" t="s">
        <v>417</v>
      </c>
      <c r="C9" s="2">
        <v>3</v>
      </c>
    </row>
    <row r="10" spans="1:3" x14ac:dyDescent="0.25">
      <c r="A10" s="2" t="s">
        <v>358</v>
      </c>
      <c r="B10" s="2" t="s">
        <v>418</v>
      </c>
      <c r="C10" s="2">
        <v>1</v>
      </c>
    </row>
    <row r="11" spans="1:3" x14ac:dyDescent="0.25">
      <c r="A11" s="2" t="s">
        <v>359</v>
      </c>
      <c r="B11" s="2" t="s">
        <v>419</v>
      </c>
      <c r="C11" s="2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README</vt:lpstr>
      <vt:lpstr>ENG</vt:lpstr>
      <vt:lpstr>FAB</vt:lpstr>
      <vt:lpstr>LOG</vt:lpstr>
      <vt:lpstr>SITE</vt:lpstr>
      <vt:lpstr>COMM</vt:lpstr>
      <vt:lpstr>HSE</vt:lpstr>
      <vt:lpstr>Procurement</vt:lpstr>
      <vt:lpstr>Milestones</vt:lpstr>
      <vt:lpstr>KPI</vt:lpstr>
      <vt:lpstr>Phase</vt:lpstr>
      <vt:lpstr>Sections</vt:lpstr>
      <vt:lpstr>Variance</vt:lpstr>
      <vt:lpstr>Engineering</vt:lpstr>
      <vt:lpstr>SCurve</vt:lpstr>
      <vt:lpstr>WPInfo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IMA Brownfield</dc:creator>
  <dc:title/>
  <dc:subject/>
  <dc:description/>
  <cp:keywords/>
  <cp:category/>
  <cp:lastModifiedBy>Unknown</cp:lastModifiedBy>
  <dcterms:created xsi:type="dcterms:W3CDTF">2026-05-31T17:05:52Z</dcterms:created>
  <dcterms:modified xsi:type="dcterms:W3CDTF">2026-05-31T17:05:52Z</dcterms:modified>
</cp:coreProperties>
</file>